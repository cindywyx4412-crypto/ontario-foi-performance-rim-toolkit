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Raw_Data" sheetId="2" state="visible" r:id="rId2"/>
    <sheet xmlns:r="http://schemas.openxmlformats.org/officeDocument/2006/relationships" name="3_Calc" sheetId="3" state="visible" r:id="rId3"/>
    <sheet xmlns:r="http://schemas.openxmlformats.org/officeDocument/2006/relationships" name="4_MECP_Spotlight" sheetId="4" state="visible" r:id="rId4"/>
    <sheet xmlns:r="http://schemas.openxmlformats.org/officeDocument/2006/relationships" name="5_Charts" sheetId="5" state="visible" r:id="rId5"/>
    <sheet xmlns:r="http://schemas.openxmlformats.org/officeDocument/2006/relationships" name="6_File_Plan" sheetId="6" state="visible" r:id="rId6"/>
    <sheet xmlns:r="http://schemas.openxmlformats.org/officeDocument/2006/relationships" name="7_Retention_Crosswalk" sheetId="7" state="visible" r:id="rId7"/>
    <sheet xmlns:r="http://schemas.openxmlformats.org/officeDocument/2006/relationships" name="8_FOI_Workflow" sheetId="8" state="visible" r:id="rId8"/>
    <sheet xmlns:r="http://schemas.openxmlformats.org/officeDocument/2006/relationships" name="9_Training" sheetId="9" state="visible" r:id="rId9"/>
    <sheet xmlns:r="http://schemas.openxmlformats.org/officeDocument/2006/relationships" name="10_Context_Data" sheetId="10" state="visible" r:id="rId10"/>
    <sheet xmlns:r="http://schemas.openxmlformats.org/officeDocument/2006/relationships" name="11_Search_Log" sheetId="11" state="visible" r:id="rId11"/>
  </sheets>
  <definedNames>
    <definedName name="_xlnm._FilterDatabase" localSheetId="1" hidden="1">'2_Raw_Data'!$A$1:$K$28</definedName>
    <definedName name="_xlnm._FilterDatabase" localSheetId="2" hidden="1">'3_Calc'!$A$1:$K$28</definedName>
    <definedName name="_xlnm._FilterDatabase" localSheetId="4" hidden="1">'5_Charts'!$A$3:$C$11</definedName>
    <definedName name="_xlnm._FilterDatabase" localSheetId="5" hidden="1">'6_File_Plan'!$A$3:$G$17</definedName>
    <definedName name="_xlnm._FilterDatabase" localSheetId="6" hidden="1">'7_Retention_Crosswalk'!$A$3:$G$10</definedName>
    <definedName name="_xlnm._FilterDatabase" localSheetId="7" hidden="1">'8_FOI_Workflow'!$A$3:$E$12</definedName>
    <definedName name="_xlnm._FilterDatabase" localSheetId="8" hidden="1">'9_Training'!$A$3:$E$11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+#,##0;-#,##0"/>
    <numFmt numFmtId="167" formatCode="+0.0&quot; pp&quot;;-0.0&quot; pp&quot;"/>
    <numFmt numFmtId="168" formatCode="+0.0%;-0.0%"/>
  </numFmts>
  <fonts count="9">
    <font>
      <name val="Calibri"/>
      <family val="2"/>
      <color theme="1"/>
      <sz val="11"/>
      <scheme val="minor"/>
    </font>
    <font>
      <name val="Arial"/>
      <b val="1"/>
      <color rgb="001F3A5F"/>
      <sz val="13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55555"/>
      <sz val="9"/>
    </font>
    <font>
      <name val="Arial"/>
      <color rgb="00008000"/>
      <sz val="10"/>
    </font>
    <font>
      <name val="Arial"/>
      <b val="1"/>
      <color rgb="001F3A5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3" fontId="7" fillId="0" borderId="1" pivotButton="0" quotePrefix="0" xfId="0"/>
    <xf numFmtId="2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4" fontId="7" fillId="0" borderId="1" pivotButton="0" quotePrefix="0" xfId="0"/>
    <xf numFmtId="167" fontId="3" fillId="0" borderId="1" pivotButton="0" quotePrefix="0" xfId="0"/>
    <xf numFmtId="167" fontId="0" fillId="0" borderId="1" pivotButton="0" quotePrefix="0" xfId="0"/>
    <xf numFmtId="0" fontId="6" fillId="0" borderId="0" applyAlignment="1" pivotButton="0" quotePrefix="0" xfId="0">
      <alignment vertical="top" wrapText="1"/>
    </xf>
    <xf numFmtId="3" fontId="7" fillId="0" borderId="0" pivotButton="0" quotePrefix="0" xfId="0"/>
    <xf numFmtId="164" fontId="7" fillId="0" borderId="0" pivotButton="0" quotePrefix="0" xfId="0"/>
    <xf numFmtId="0" fontId="3" fillId="0" borderId="1" applyAlignment="1" pivotButton="0" quotePrefix="0" xfId="0">
      <alignment vertical="top" wrapText="1"/>
    </xf>
    <xf numFmtId="0" fontId="8" fillId="0" borderId="0" pivotButton="0" quotePrefix="0" xfId="0"/>
    <xf numFmtId="3" fontId="5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168" fontId="3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2025: % of completed requests answered within 30 days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'5_Charts'!C3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'5_Charts'!$A$4:$A$11</f>
            </numRef>
          </cat>
          <val>
            <numRef>
              <f>'5_Charts'!$C$4:$C$11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MECP: timeliness 2023–2025</a:t>
            </a:r>
          </a:p>
        </rich>
      </tx>
    </title>
    <plotArea>
      <lineChart>
        <grouping val="standard"/>
        <ser>
          <idx val="0"/>
          <order val="0"/>
          <tx>
            <strRef>
              <f>'5_Charts'!B14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'5_Charts'!$A$15:$A$17</f>
            </numRef>
          </cat>
          <val>
            <numRef>
              <f>'5_Charts'!$B$15:$B$17</f>
            </numRef>
          </val>
        </ser>
        <ser>
          <idx val="1"/>
          <order val="1"/>
          <tx>
            <strRef>
              <f>'5_Charts'!C14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'5_Charts'!$A$15:$A$17</f>
            </numRef>
          </cat>
          <val>
            <numRef>
              <f>'5_Charts'!$C$15:$C$17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13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Ontario Ministry FOI Performance Review &amp; Branch RIM Toolkit (2023–2025)</t>
        </is>
      </c>
    </row>
    <row r="3">
      <c r="A3" s="2" t="inlineStr">
        <is>
          <t>Author</t>
        </is>
      </c>
      <c r="B3" s="3" t="inlineStr">
        <is>
          <t>Yuxin (Cindy) Wang — independent practice project</t>
        </is>
      </c>
    </row>
    <row r="4">
      <c r="A4" s="2" t="inlineStr">
        <is>
          <t>Purpose</t>
        </is>
      </c>
      <c r="B4" s="3" t="inlineStr">
        <is>
          <t>Analyze how high-volume Ontario ministries handle FIPPA access requests, and design an illustrative records and information management (RIM) toolkit for a branch.</t>
        </is>
      </c>
    </row>
    <row r="5">
      <c r="A5" s="2" t="inlineStr">
        <is>
          <t>Data source</t>
        </is>
      </c>
      <c r="B5" s="3" t="inlineStr">
        <is>
          <t>IPC Statistical Reports 2023, 2024 and 2025: table 'Response rates (provincial institutions except colleges, universities, and hospitals)'.</t>
        </is>
      </c>
    </row>
    <row r="6">
      <c r="A6" s="2" t="inlineStr">
        <is>
          <t>Scope</t>
        </is>
      </c>
      <c r="B6" s="3" t="inlineStr">
        <is>
          <t>Eight ministries reported in all three years plus the provincial total. Ministry of Health is excluded because it does not appear in the 2024 FIPPA table.</t>
        </is>
      </c>
    </row>
    <row r="7">
      <c r="A7" s="2" t="inlineStr">
        <is>
          <t>Units</t>
        </is>
      </c>
      <c r="B7" s="3" t="inlineStr">
        <is>
          <t>Counts of requests; percentages as reported by the IPC (share of completed requests).</t>
        </is>
      </c>
    </row>
    <row r="8">
      <c r="A8" s="2" t="inlineStr">
        <is>
          <t>30-day standard</t>
        </is>
      </c>
      <c r="B8" s="3" t="inlineStr">
        <is>
          <t>Data covers 2023–2025 and is measured against FIPPA's 30-calendar-day standard. From July 1, 2026 the general response time is 45 business days.</t>
        </is>
      </c>
    </row>
    <row r="9">
      <c r="A9" s="2" t="inlineStr">
        <is>
          <t>Provincial totals</t>
        </is>
      </c>
      <c r="B9" s="3" t="inlineStr">
        <is>
          <t>Totals are taken from each table's Total row. The headline figures on each report's summary page differ slightly (see 2_Raw_Data notes).</t>
        </is>
      </c>
    </row>
    <row r="10">
      <c r="A10" s="2" t="inlineStr">
        <is>
          <t>Context data</t>
        </is>
      </c>
      <c r="B10" s="3" t="inlineStr">
        <is>
          <t>10_Context_Data: requester source and request outcomes for ALL provincial institutions (incl. colleges, universities, hospitals), and IPC access appeals 2021–2025. Not broken down by ministry.</t>
        </is>
      </c>
    </row>
    <row r="11">
      <c r="A11" s="2" t="inlineStr">
        <is>
          <t>Toolkit sheets</t>
        </is>
      </c>
      <c r="B11" s="3" t="inlineStr">
        <is>
          <t>6_File_Plan, 7_Retention_Crosswalk, 8_FOI_Workflow, 9_Training and 11_Search_Log are ILLUSTRATIVE designs for a hypothetical branch. Retention periods must be confirmed against the applicable approved OPS common or ministry records schedule.</t>
        </is>
      </c>
    </row>
    <row r="12">
      <c r="A12" s="2" t="inlineStr">
        <is>
          <t>Colour code</t>
        </is>
      </c>
      <c r="B12" s="3" t="inlineStr">
        <is>
          <t>Blue = input from source; black = formula; green = reference to another sheet.</t>
        </is>
      </c>
    </row>
    <row r="15">
      <c r="A15" s="2" t="inlineStr">
        <is>
          <t>Sources</t>
        </is>
      </c>
    </row>
    <row r="16">
      <c r="A16" s="4" t="inlineStr">
        <is>
          <t>2023</t>
        </is>
      </c>
      <c r="B16" s="4" t="inlineStr">
        <is>
          <t>IPC 2023 Statistical Report, pp. 4–6 (printed): https://www.ipc.on.ca/sites/default/files/documents/ar-2023-statistical%20report_0.pdf</t>
        </is>
      </c>
    </row>
    <row r="17">
      <c r="A17" s="4" t="inlineStr">
        <is>
          <t>2024</t>
        </is>
      </c>
      <c r="B17" s="4" t="inlineStr">
        <is>
          <t>IPC 2024 Statistical Report, pp. 5–7 (printed): https://www.ipc.on.ca/sites/default/files/documents/ipc-2024-statistical-report.pdf</t>
        </is>
      </c>
    </row>
    <row r="18">
      <c r="A18" s="4" t="inlineStr">
        <is>
          <t>2025</t>
        </is>
      </c>
      <c r="B18" s="4" t="inlineStr">
        <is>
          <t>IPC 2025 Statistical Report, pp. 5–9 (printed): https://www.ipc.on.ca/sites/default/files/documents/2025-ar_ipc-statistics_acc_ua.pdf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52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11" customWidth="1" min="9" max="9"/>
    <col width="13" customWidth="1" min="10" max="10"/>
    <col width="40" customWidth="1" min="11" max="11"/>
  </cols>
  <sheetData>
    <row r="1">
      <c r="A1" s="5" t="inlineStr">
        <is>
          <t>Year</t>
        </is>
      </c>
      <c r="B1" s="5" t="inlineStr">
        <is>
          <t>Code</t>
        </is>
      </c>
      <c r="C1" s="5" t="inlineStr">
        <is>
          <t>Institution</t>
        </is>
      </c>
      <c r="D1" s="5" t="inlineStr">
        <is>
          <t>Requests received</t>
        </is>
      </c>
      <c r="E1" s="5" t="inlineStr">
        <is>
          <t>Requests completed</t>
        </is>
      </c>
      <c r="F1" s="5" t="inlineStr">
        <is>
          <t>Within 30 days</t>
        </is>
      </c>
      <c r="G1" s="5" t="inlineStr">
        <is>
          <t>% within 30 days (reported)</t>
        </is>
      </c>
      <c r="H1" s="5" t="inlineStr">
        <is>
          <t>Extended compliance % (reported)</t>
        </is>
      </c>
      <c r="I1" s="5" t="inlineStr">
        <is>
          <t>Over 90 days</t>
        </is>
      </c>
      <c r="J1" s="5" t="inlineStr">
        <is>
          <t>% over 90 days (reported)</t>
        </is>
      </c>
      <c r="K1" s="5" t="inlineStr">
        <is>
          <t>Source</t>
        </is>
      </c>
    </row>
    <row r="2">
      <c r="A2" s="6" t="n">
        <v>2023</v>
      </c>
      <c r="B2" s="6" t="inlineStr">
        <is>
          <t>MECP</t>
        </is>
      </c>
      <c r="C2" s="6" t="inlineStr">
        <is>
          <t>Ministry of the Environment, Conservation and Parks</t>
        </is>
      </c>
      <c r="D2" s="7" t="n">
        <v>7532</v>
      </c>
      <c r="E2" s="7" t="n">
        <v>12620</v>
      </c>
      <c r="F2" s="7" t="n">
        <v>5712</v>
      </c>
      <c r="G2" s="8" t="n">
        <v>0.453</v>
      </c>
      <c r="H2" s="8" t="n">
        <v>0.499</v>
      </c>
      <c r="I2" s="7" t="n">
        <v>5962</v>
      </c>
      <c r="J2" s="8" t="n">
        <v>0.472</v>
      </c>
      <c r="K2" s="6" t="inlineStr">
        <is>
          <t>IPC 2023 Statistical Report, pp. 4–6 (printed)</t>
        </is>
      </c>
    </row>
    <row r="3">
      <c r="A3" s="6" t="n">
        <v>2023</v>
      </c>
      <c r="B3" s="6" t="inlineStr">
        <is>
          <t>SOLGEN</t>
        </is>
      </c>
      <c r="C3" s="6" t="inlineStr">
        <is>
          <t>Ministry of the Solicitor General</t>
        </is>
      </c>
      <c r="D3" s="7" t="n">
        <v>8241</v>
      </c>
      <c r="E3" s="7" t="n">
        <v>7670</v>
      </c>
      <c r="F3" s="7" t="n">
        <v>6250</v>
      </c>
      <c r="G3" s="8" t="n">
        <v>0.8149999999999999</v>
      </c>
      <c r="H3" s="8" t="n">
        <v>0.9079999999999999</v>
      </c>
      <c r="I3" s="7" t="n">
        <v>338</v>
      </c>
      <c r="J3" s="8" t="n">
        <v>0.044</v>
      </c>
      <c r="K3" s="6" t="inlineStr">
        <is>
          <t>IPC 2023 Statistical Report, pp. 4–6 (printed)</t>
        </is>
      </c>
    </row>
    <row r="4">
      <c r="A4" s="6" t="n">
        <v>2023</v>
      </c>
      <c r="B4" s="6" t="inlineStr">
        <is>
          <t>MCCSS</t>
        </is>
      </c>
      <c r="C4" s="6" t="inlineStr">
        <is>
          <t>Ministry of Children, Community and Social Services</t>
        </is>
      </c>
      <c r="D4" s="7" t="n">
        <v>3957</v>
      </c>
      <c r="E4" s="7" t="n">
        <v>3907</v>
      </c>
      <c r="F4" s="7" t="n">
        <v>3541</v>
      </c>
      <c r="G4" s="8" t="n">
        <v>0.9059999999999999</v>
      </c>
      <c r="H4" s="8" t="n">
        <v>0.927</v>
      </c>
      <c r="I4" s="7" t="n">
        <v>87</v>
      </c>
      <c r="J4" s="8" t="n">
        <v>0.022</v>
      </c>
      <c r="K4" s="6" t="inlineStr">
        <is>
          <t>IPC 2023 Statistical Report, pp. 4–6 (printed)</t>
        </is>
      </c>
    </row>
    <row r="5">
      <c r="A5" s="6" t="n">
        <v>2023</v>
      </c>
      <c r="B5" s="6" t="inlineStr">
        <is>
          <t>MLITSD</t>
        </is>
      </c>
      <c r="C5" s="6" t="inlineStr">
        <is>
          <t>Ministry of Labour, Immigration, Training and Skills Development</t>
        </is>
      </c>
      <c r="D5" s="7" t="n">
        <v>982</v>
      </c>
      <c r="E5" s="7" t="n">
        <v>966</v>
      </c>
      <c r="F5" s="7" t="n">
        <v>841</v>
      </c>
      <c r="G5" s="8" t="n">
        <v>0.871</v>
      </c>
      <c r="H5" s="8" t="n">
        <v>0.924</v>
      </c>
      <c r="I5" s="7" t="n">
        <v>35</v>
      </c>
      <c r="J5" s="8" t="n">
        <v>0.036</v>
      </c>
      <c r="K5" s="6" t="inlineStr">
        <is>
          <t>IPC 2023 Statistical Report, pp. 4–6 (printed)</t>
        </is>
      </c>
    </row>
    <row r="6">
      <c r="A6" s="6" t="n">
        <v>2023</v>
      </c>
      <c r="B6" s="6" t="inlineStr">
        <is>
          <t>MTO</t>
        </is>
      </c>
      <c r="C6" s="6" t="inlineStr">
        <is>
          <t>Ministry of Transportation</t>
        </is>
      </c>
      <c r="D6" s="7" t="n">
        <v>894</v>
      </c>
      <c r="E6" s="7" t="n">
        <v>754</v>
      </c>
      <c r="F6" s="7" t="n">
        <v>653</v>
      </c>
      <c r="G6" s="8" t="n">
        <v>0.866</v>
      </c>
      <c r="H6" s="8" t="n">
        <v>0.927</v>
      </c>
      <c r="I6" s="7" t="n">
        <v>48</v>
      </c>
      <c r="J6" s="8" t="n">
        <v>0.064</v>
      </c>
      <c r="K6" s="6" t="inlineStr">
        <is>
          <t>IPC 2023 Statistical Report, pp. 4–6 (printed)</t>
        </is>
      </c>
    </row>
    <row r="7">
      <c r="A7" s="6" t="n">
        <v>2023</v>
      </c>
      <c r="B7" s="6" t="inlineStr">
        <is>
          <t>MPBSD</t>
        </is>
      </c>
      <c r="C7" s="6" t="inlineStr">
        <is>
          <t>Ministry of Public and Business Service Delivery (and Procurement)</t>
        </is>
      </c>
      <c r="D7" s="7" t="n">
        <v>601</v>
      </c>
      <c r="E7" s="7" t="n">
        <v>569</v>
      </c>
      <c r="F7" s="7" t="n">
        <v>511</v>
      </c>
      <c r="G7" s="8" t="n">
        <v>0.898</v>
      </c>
      <c r="H7" s="8" t="n">
        <v>0.9370000000000001</v>
      </c>
      <c r="I7" s="7" t="n">
        <v>16</v>
      </c>
      <c r="J7" s="8" t="n">
        <v>0.028</v>
      </c>
      <c r="K7" s="6" t="inlineStr">
        <is>
          <t>IPC 2023 Statistical Report, pp. 4–6 (printed)</t>
        </is>
      </c>
    </row>
    <row r="8">
      <c r="A8" s="6" t="n">
        <v>2023</v>
      </c>
      <c r="B8" s="6" t="inlineStr">
        <is>
          <t>MAG</t>
        </is>
      </c>
      <c r="C8" s="6" t="inlineStr">
        <is>
          <t>Ministry of the Attorney General</t>
        </is>
      </c>
      <c r="D8" s="7" t="n">
        <v>399</v>
      </c>
      <c r="E8" s="7" t="n">
        <v>305</v>
      </c>
      <c r="F8" s="7" t="n">
        <v>262</v>
      </c>
      <c r="G8" s="8" t="n">
        <v>0.8590000000000001</v>
      </c>
      <c r="H8" s="8" t="n">
        <v>0.977</v>
      </c>
      <c r="I8" s="7" t="n">
        <v>4</v>
      </c>
      <c r="J8" s="8" t="n">
        <v>0.013</v>
      </c>
      <c r="K8" s="6" t="inlineStr">
        <is>
          <t>IPC 2023 Statistical Report, pp. 4–6 (printed)</t>
        </is>
      </c>
    </row>
    <row r="9">
      <c r="A9" s="6" t="n">
        <v>2023</v>
      </c>
      <c r="B9" s="6" t="inlineStr">
        <is>
          <t>MMAH</t>
        </is>
      </c>
      <c r="C9" s="6" t="inlineStr">
        <is>
          <t>Ministry of Municipal Affairs and Housing</t>
        </is>
      </c>
      <c r="D9" s="7" t="n">
        <v>305</v>
      </c>
      <c r="E9" s="7" t="n">
        <v>213</v>
      </c>
      <c r="F9" s="7" t="n">
        <v>116</v>
      </c>
      <c r="G9" s="8" t="n">
        <v>0.545</v>
      </c>
      <c r="H9" s="8" t="n">
        <v>0.723</v>
      </c>
      <c r="I9" s="7" t="n">
        <v>50</v>
      </c>
      <c r="J9" s="8" t="n">
        <v>0.235</v>
      </c>
      <c r="K9" s="6" t="inlineStr">
        <is>
          <t>IPC 2023 Statistical Report, pp. 4–6 (printed)</t>
        </is>
      </c>
    </row>
    <row r="10">
      <c r="A10" s="6" t="n">
        <v>2023</v>
      </c>
      <c r="B10" s="6" t="inlineStr">
        <is>
          <t>TOTAL</t>
        </is>
      </c>
      <c r="C10" s="6" t="inlineStr">
        <is>
          <t>All provincial institutions (table total)</t>
        </is>
      </c>
      <c r="D10" s="7" t="n">
        <v>25725</v>
      </c>
      <c r="E10" s="7" t="n">
        <v>29507</v>
      </c>
      <c r="F10" s="7" t="n">
        <v>19650</v>
      </c>
      <c r="G10" s="8" t="n">
        <v>0.6659999999999999</v>
      </c>
      <c r="H10" s="8" t="n">
        <v>0.738</v>
      </c>
      <c r="I10" s="7" t="n">
        <v>6757</v>
      </c>
      <c r="J10" s="8" t="n">
        <v>0.229</v>
      </c>
      <c r="K10" s="6" t="inlineStr">
        <is>
          <t>IPC 2023 Statistical Report, pp. 4–6 (printed)</t>
        </is>
      </c>
    </row>
    <row r="11">
      <c r="A11" s="6" t="n">
        <v>2024</v>
      </c>
      <c r="B11" s="6" t="inlineStr">
        <is>
          <t>MECP</t>
        </is>
      </c>
      <c r="C11" s="6" t="inlineStr">
        <is>
          <t>Ministry of the Environment, Conservation and Parks</t>
        </is>
      </c>
      <c r="D11" s="7" t="n">
        <v>8333</v>
      </c>
      <c r="E11" s="7" t="n">
        <v>9093</v>
      </c>
      <c r="F11" s="7" t="n">
        <v>6955</v>
      </c>
      <c r="G11" s="8" t="n">
        <v>0.765</v>
      </c>
      <c r="H11" s="8" t="n">
        <v>0.845</v>
      </c>
      <c r="I11" s="7" t="n">
        <v>1013</v>
      </c>
      <c r="J11" s="8" t="n">
        <v>0.111</v>
      </c>
      <c r="K11" s="6" t="inlineStr">
        <is>
          <t>IPC 2024 Statistical Report, pp. 5–7 (printed)</t>
        </is>
      </c>
    </row>
    <row r="12">
      <c r="A12" s="6" t="n">
        <v>2024</v>
      </c>
      <c r="B12" s="6" t="inlineStr">
        <is>
          <t>SOLGEN</t>
        </is>
      </c>
      <c r="C12" s="6" t="inlineStr">
        <is>
          <t>Ministry of the Solicitor General</t>
        </is>
      </c>
      <c r="D12" s="7" t="n">
        <v>8489</v>
      </c>
      <c r="E12" s="7" t="n">
        <v>7384</v>
      </c>
      <c r="F12" s="7" t="n">
        <v>5625</v>
      </c>
      <c r="G12" s="8" t="n">
        <v>0.762</v>
      </c>
      <c r="H12" s="8" t="n">
        <v>0.85</v>
      </c>
      <c r="I12" s="7" t="n">
        <v>445</v>
      </c>
      <c r="J12" s="8" t="n">
        <v>0.06</v>
      </c>
      <c r="K12" s="6" t="inlineStr">
        <is>
          <t>IPC 2024 Statistical Report, pp. 5–7 (printed)</t>
        </is>
      </c>
    </row>
    <row r="13">
      <c r="A13" s="6" t="n">
        <v>2024</v>
      </c>
      <c r="B13" s="6" t="inlineStr">
        <is>
          <t>MCCSS</t>
        </is>
      </c>
      <c r="C13" s="6" t="inlineStr">
        <is>
          <t>Ministry of Children, Community and Social Services</t>
        </is>
      </c>
      <c r="D13" s="7" t="n">
        <v>4333</v>
      </c>
      <c r="E13" s="7" t="n">
        <v>4303</v>
      </c>
      <c r="F13" s="7" t="n">
        <v>3753</v>
      </c>
      <c r="G13" s="8" t="n">
        <v>0.872</v>
      </c>
      <c r="H13" s="8" t="n">
        <v>0.8959999999999999</v>
      </c>
      <c r="I13" s="7" t="n">
        <v>67</v>
      </c>
      <c r="J13" s="8" t="n">
        <v>0.016</v>
      </c>
      <c r="K13" s="6" t="inlineStr">
        <is>
          <t>IPC 2024 Statistical Report, pp. 5–7 (printed)</t>
        </is>
      </c>
    </row>
    <row r="14">
      <c r="A14" s="6" t="n">
        <v>2024</v>
      </c>
      <c r="B14" s="6" t="inlineStr">
        <is>
          <t>MLITSD</t>
        </is>
      </c>
      <c r="C14" s="6" t="inlineStr">
        <is>
          <t>Ministry of Labour, Immigration, Training and Skills Development</t>
        </is>
      </c>
      <c r="D14" s="7" t="n">
        <v>846</v>
      </c>
      <c r="E14" s="7" t="n">
        <v>808</v>
      </c>
      <c r="F14" s="7" t="n">
        <v>605</v>
      </c>
      <c r="G14" s="8" t="n">
        <v>0.7490000000000001</v>
      </c>
      <c r="H14" s="8" t="n">
        <v>0.7959999999999999</v>
      </c>
      <c r="I14" s="7" t="n">
        <v>56</v>
      </c>
      <c r="J14" s="8" t="n">
        <v>0.06900000000000001</v>
      </c>
      <c r="K14" s="6" t="inlineStr">
        <is>
          <t>IPC 2024 Statistical Report, pp. 5–7 (printed)</t>
        </is>
      </c>
    </row>
    <row r="15">
      <c r="A15" s="6" t="n">
        <v>2024</v>
      </c>
      <c r="B15" s="6" t="inlineStr">
        <is>
          <t>MTO</t>
        </is>
      </c>
      <c r="C15" s="6" t="inlineStr">
        <is>
          <t>Ministry of Transportation</t>
        </is>
      </c>
      <c r="D15" s="7" t="n">
        <v>1060</v>
      </c>
      <c r="E15" s="7" t="n">
        <v>873</v>
      </c>
      <c r="F15" s="7" t="n">
        <v>778</v>
      </c>
      <c r="G15" s="8" t="n">
        <v>0.8909999999999999</v>
      </c>
      <c r="H15" s="8" t="n">
        <v>0.956</v>
      </c>
      <c r="I15" s="7" t="n">
        <v>22</v>
      </c>
      <c r="J15" s="8" t="n">
        <v>0.025</v>
      </c>
      <c r="K15" s="6" t="inlineStr">
        <is>
          <t>IPC 2024 Statistical Report, pp. 5–7 (printed)</t>
        </is>
      </c>
    </row>
    <row r="16">
      <c r="A16" s="6" t="n">
        <v>2024</v>
      </c>
      <c r="B16" s="6" t="inlineStr">
        <is>
          <t>MPBSD</t>
        </is>
      </c>
      <c r="C16" s="6" t="inlineStr">
        <is>
          <t>Ministry of Public and Business Service Delivery (and Procurement)</t>
        </is>
      </c>
      <c r="D16" s="7" t="n">
        <v>596</v>
      </c>
      <c r="E16" s="7" t="n">
        <v>568</v>
      </c>
      <c r="F16" s="7" t="n">
        <v>499</v>
      </c>
      <c r="G16" s="8" t="n">
        <v>0.879</v>
      </c>
      <c r="H16" s="8" t="n">
        <v>0.9670000000000001</v>
      </c>
      <c r="I16" s="7" t="n">
        <v>20</v>
      </c>
      <c r="J16" s="8" t="n">
        <v>0.035</v>
      </c>
      <c r="K16" s="6" t="inlineStr">
        <is>
          <t>IPC 2024 Statistical Report, pp. 5–7 (printed)</t>
        </is>
      </c>
    </row>
    <row r="17">
      <c r="A17" s="6" t="n">
        <v>2024</v>
      </c>
      <c r="B17" s="6" t="inlineStr">
        <is>
          <t>MAG</t>
        </is>
      </c>
      <c r="C17" s="6" t="inlineStr">
        <is>
          <t>Ministry of the Attorney General</t>
        </is>
      </c>
      <c r="D17" s="7" t="n">
        <v>416</v>
      </c>
      <c r="E17" s="7" t="n">
        <v>323</v>
      </c>
      <c r="F17" s="7" t="n">
        <v>287</v>
      </c>
      <c r="G17" s="8" t="n">
        <v>0.889</v>
      </c>
      <c r="H17" s="8" t="n">
        <v>0.978</v>
      </c>
      <c r="I17" s="7" t="n">
        <v>14</v>
      </c>
      <c r="J17" s="8" t="n">
        <v>0.043</v>
      </c>
      <c r="K17" s="6" t="inlineStr">
        <is>
          <t>IPC 2024 Statistical Report, pp. 5–7 (printed)</t>
        </is>
      </c>
    </row>
    <row r="18">
      <c r="A18" s="6" t="n">
        <v>2024</v>
      </c>
      <c r="B18" s="6" t="inlineStr">
        <is>
          <t>MMAH</t>
        </is>
      </c>
      <c r="C18" s="6" t="inlineStr">
        <is>
          <t>Ministry of Municipal Affairs and Housing</t>
        </is>
      </c>
      <c r="D18" s="7" t="n">
        <v>230</v>
      </c>
      <c r="E18" s="7" t="n">
        <v>266</v>
      </c>
      <c r="F18" s="7" t="n">
        <v>106</v>
      </c>
      <c r="G18" s="8" t="n">
        <v>0.398</v>
      </c>
      <c r="H18" s="8" t="n">
        <v>0.7859999999999999</v>
      </c>
      <c r="I18" s="7" t="n">
        <v>120</v>
      </c>
      <c r="J18" s="8" t="n">
        <v>0.451</v>
      </c>
      <c r="K18" s="6" t="inlineStr">
        <is>
          <t>IPC 2024 Statistical Report, pp. 5–7 (printed)</t>
        </is>
      </c>
    </row>
    <row r="19">
      <c r="A19" s="6" t="n">
        <v>2024</v>
      </c>
      <c r="B19" s="6" t="inlineStr">
        <is>
          <t>TOTAL</t>
        </is>
      </c>
      <c r="C19" s="6" t="inlineStr">
        <is>
          <t>All provincial institutions (table total)</t>
        </is>
      </c>
      <c r="D19" s="7" t="n">
        <v>26846</v>
      </c>
      <c r="E19" s="7" t="n">
        <v>25933</v>
      </c>
      <c r="F19" s="7" t="n">
        <v>20246</v>
      </c>
      <c r="G19" s="8" t="n">
        <v>0.7809999999999999</v>
      </c>
      <c r="H19" s="8" t="n">
        <v>0.8690000000000001</v>
      </c>
      <c r="I19" s="7" t="n">
        <v>1998</v>
      </c>
      <c r="J19" s="8" t="n">
        <v>0.077</v>
      </c>
      <c r="K19" s="6" t="inlineStr">
        <is>
          <t>IPC 2024 Statistical Report, pp. 5–7 (printed)</t>
        </is>
      </c>
    </row>
    <row r="20">
      <c r="A20" s="6" t="n">
        <v>2025</v>
      </c>
      <c r="B20" s="6" t="inlineStr">
        <is>
          <t>MECP</t>
        </is>
      </c>
      <c r="C20" s="6" t="inlineStr">
        <is>
          <t>Ministry of the Environment, Conservation and Parks</t>
        </is>
      </c>
      <c r="D20" s="7" t="n">
        <v>8616</v>
      </c>
      <c r="E20" s="7" t="n">
        <v>8607</v>
      </c>
      <c r="F20" s="7" t="n">
        <v>6377</v>
      </c>
      <c r="G20" s="8" t="n">
        <v>0.74</v>
      </c>
      <c r="H20" s="8" t="n">
        <v>0.836</v>
      </c>
      <c r="I20" s="7" t="n">
        <v>1057</v>
      </c>
      <c r="J20" s="8" t="n">
        <v>0.123</v>
      </c>
      <c r="K20" s="6" t="inlineStr">
        <is>
          <t>IPC 2025 Statistical Report, pp. 5–9 (printed)</t>
        </is>
      </c>
    </row>
    <row r="21">
      <c r="A21" s="6" t="n">
        <v>2025</v>
      </c>
      <c r="B21" s="6" t="inlineStr">
        <is>
          <t>SOLGEN</t>
        </is>
      </c>
      <c r="C21" s="6" t="inlineStr">
        <is>
          <t>Ministry of the Solicitor General</t>
        </is>
      </c>
      <c r="D21" s="7" t="n">
        <v>9549</v>
      </c>
      <c r="E21" s="7" t="n">
        <v>7710</v>
      </c>
      <c r="F21" s="7" t="n">
        <v>4233</v>
      </c>
      <c r="G21" s="8" t="n">
        <v>0.55</v>
      </c>
      <c r="H21" s="8" t="n">
        <v>0.581</v>
      </c>
      <c r="I21" s="7" t="n">
        <v>1124</v>
      </c>
      <c r="J21" s="8" t="n">
        <v>0.146</v>
      </c>
      <c r="K21" s="6" t="inlineStr">
        <is>
          <t>IPC 2025 Statistical Report, pp. 5–9 (printed)</t>
        </is>
      </c>
    </row>
    <row r="22">
      <c r="A22" s="6" t="n">
        <v>2025</v>
      </c>
      <c r="B22" s="6" t="inlineStr">
        <is>
          <t>MCCSS</t>
        </is>
      </c>
      <c r="C22" s="6" t="inlineStr">
        <is>
          <t>Ministry of Children, Community and Social Services</t>
        </is>
      </c>
      <c r="D22" s="7" t="n">
        <v>4890</v>
      </c>
      <c r="E22" s="7" t="n">
        <v>4650</v>
      </c>
      <c r="F22" s="7" t="n">
        <v>4209</v>
      </c>
      <c r="G22" s="8" t="n">
        <v>0.91</v>
      </c>
      <c r="H22" s="8" t="n">
        <v>0.9329999999999999</v>
      </c>
      <c r="I22" s="7" t="n">
        <v>32</v>
      </c>
      <c r="J22" s="8" t="n">
        <v>0.006999999999999999</v>
      </c>
      <c r="K22" s="6" t="inlineStr">
        <is>
          <t>IPC 2025 Statistical Report, pp. 5–9 (printed)</t>
        </is>
      </c>
    </row>
    <row r="23">
      <c r="A23" s="6" t="n">
        <v>2025</v>
      </c>
      <c r="B23" s="6" t="inlineStr">
        <is>
          <t>MLITSD</t>
        </is>
      </c>
      <c r="C23" s="6" t="inlineStr">
        <is>
          <t>Ministry of Labour, Immigration, Training and Skills Development</t>
        </is>
      </c>
      <c r="D23" s="7" t="n">
        <v>1898</v>
      </c>
      <c r="E23" s="7" t="n">
        <v>1175</v>
      </c>
      <c r="F23" s="7" t="n">
        <v>847</v>
      </c>
      <c r="G23" s="8" t="n">
        <v>0.72</v>
      </c>
      <c r="H23" s="8" t="n">
        <v>0.726</v>
      </c>
      <c r="I23" s="7" t="n">
        <v>126</v>
      </c>
      <c r="J23" s="8" t="n">
        <v>0.107</v>
      </c>
      <c r="K23" s="6" t="inlineStr">
        <is>
          <t>IPC 2025 Statistical Report, pp. 5–9 (printed)</t>
        </is>
      </c>
    </row>
    <row r="24">
      <c r="A24" s="6" t="n">
        <v>2025</v>
      </c>
      <c r="B24" s="6" t="inlineStr">
        <is>
          <t>MTO</t>
        </is>
      </c>
      <c r="C24" s="6" t="inlineStr">
        <is>
          <t>Ministry of Transportation</t>
        </is>
      </c>
      <c r="D24" s="7" t="n">
        <v>1450</v>
      </c>
      <c r="E24" s="7" t="n">
        <v>1062</v>
      </c>
      <c r="F24" s="7" t="n">
        <v>965</v>
      </c>
      <c r="G24" s="8" t="n">
        <v>0.91</v>
      </c>
      <c r="H24" s="8" t="n">
        <v>0.966</v>
      </c>
      <c r="I24" s="7" t="n">
        <v>29</v>
      </c>
      <c r="J24" s="8" t="n">
        <v>0.027</v>
      </c>
      <c r="K24" s="6" t="inlineStr">
        <is>
          <t>IPC 2025 Statistical Report, pp. 5–9 (printed)</t>
        </is>
      </c>
    </row>
    <row r="25">
      <c r="A25" s="6" t="n">
        <v>2025</v>
      </c>
      <c r="B25" s="6" t="inlineStr">
        <is>
          <t>MPBSD</t>
        </is>
      </c>
      <c r="C25" s="6" t="inlineStr">
        <is>
          <t>Ministry of Public and Business Service Delivery (and Procurement)</t>
        </is>
      </c>
      <c r="D25" s="7" t="n">
        <v>595</v>
      </c>
      <c r="E25" s="7" t="n">
        <v>547</v>
      </c>
      <c r="F25" s="7" t="n">
        <v>503</v>
      </c>
      <c r="G25" s="8" t="n">
        <v>0.92</v>
      </c>
      <c r="H25" s="8" t="n">
        <v>0.982</v>
      </c>
      <c r="I25" s="7" t="n">
        <v>5</v>
      </c>
      <c r="J25" s="8" t="n">
        <v>0.009000000000000001</v>
      </c>
      <c r="K25" s="6" t="inlineStr">
        <is>
          <t>IPC 2025 Statistical Report, pp. 5–9 (printed)</t>
        </is>
      </c>
    </row>
    <row r="26">
      <c r="A26" s="6" t="n">
        <v>2025</v>
      </c>
      <c r="B26" s="6" t="inlineStr">
        <is>
          <t>MAG</t>
        </is>
      </c>
      <c r="C26" s="6" t="inlineStr">
        <is>
          <t>Ministry of the Attorney General</t>
        </is>
      </c>
      <c r="D26" s="7" t="n">
        <v>432</v>
      </c>
      <c r="E26" s="7" t="n">
        <v>397</v>
      </c>
      <c r="F26" s="7" t="n">
        <v>357</v>
      </c>
      <c r="G26" s="8" t="n">
        <v>0.9</v>
      </c>
      <c r="H26" s="8" t="n">
        <v>0.977</v>
      </c>
      <c r="I26" s="7" t="n">
        <v>8</v>
      </c>
      <c r="J26" s="8" t="n">
        <v>0.02</v>
      </c>
      <c r="K26" s="6" t="inlineStr">
        <is>
          <t>IPC 2025 Statistical Report, pp. 5–9 (printed)</t>
        </is>
      </c>
    </row>
    <row r="27">
      <c r="A27" s="6" t="n">
        <v>2025</v>
      </c>
      <c r="B27" s="6" t="inlineStr">
        <is>
          <t>MMAH</t>
        </is>
      </c>
      <c r="C27" s="6" t="inlineStr">
        <is>
          <t>Ministry of Municipal Affairs and Housing</t>
        </is>
      </c>
      <c r="D27" s="7" t="n">
        <v>233</v>
      </c>
      <c r="E27" s="7" t="n">
        <v>181</v>
      </c>
      <c r="F27" s="7" t="n">
        <v>111</v>
      </c>
      <c r="G27" s="8" t="n">
        <v>0.61</v>
      </c>
      <c r="H27" s="8" t="n">
        <v>0.945</v>
      </c>
      <c r="I27" s="7" t="n">
        <v>35</v>
      </c>
      <c r="J27" s="8" t="n">
        <v>0.193</v>
      </c>
      <c r="K27" s="6" t="inlineStr">
        <is>
          <t>IPC 2025 Statistical Report, pp. 5–9 (printed)</t>
        </is>
      </c>
    </row>
    <row r="28">
      <c r="A28" s="6" t="n">
        <v>2025</v>
      </c>
      <c r="B28" s="6" t="inlineStr">
        <is>
          <t>TOTAL</t>
        </is>
      </c>
      <c r="C28" s="6" t="inlineStr">
        <is>
          <t>All provincial institutions (table total)</t>
        </is>
      </c>
      <c r="D28" s="7" t="n">
        <v>31042</v>
      </c>
      <c r="E28" s="7" t="n">
        <v>27256</v>
      </c>
      <c r="F28" s="7" t="n">
        <v>19410</v>
      </c>
      <c r="G28" s="8" t="n">
        <v>0.7120000000000001</v>
      </c>
      <c r="H28" s="8" t="n">
        <v>0.794</v>
      </c>
      <c r="I28" s="7" t="n">
        <v>2805</v>
      </c>
      <c r="J28" s="8" t="n">
        <v>0.103</v>
      </c>
      <c r="K28" s="6" t="inlineStr">
        <is>
          <t>IPC 2025 Statistical Report, pp. 5–9 (printed)</t>
        </is>
      </c>
    </row>
    <row r="30">
      <c r="A30" s="2" t="inlineStr">
        <is>
          <t>Notes</t>
        </is>
      </c>
    </row>
    <row r="31">
      <c r="A31" s="9" t="inlineStr">
        <is>
          <t>2023: headline summary-page figures were 67.2% within 30 days, 74.8% extended, 22.0% over 90 days.</t>
        </is>
      </c>
    </row>
    <row r="32">
      <c r="A32" s="9" t="inlineStr">
        <is>
          <t>2024: headline summary-page figures were 78.2% within 30 days, 87.4% extended, 7.5% over 90 days.</t>
        </is>
      </c>
    </row>
    <row r="33">
      <c r="A33" s="9" t="inlineStr">
        <is>
          <t>2025: headline summary-page figures were 72.1% within 30 days, 80.6% extended, 9.8% over 90 days.</t>
        </is>
      </c>
    </row>
    <row r="34">
      <c r="A34" s="9" t="inlineStr">
        <is>
          <t>2023 MPBSD was listed as 'Ministry of Public and Business Service Delivery'; 2024–2025 add 'and Procurement'.</t>
        </is>
      </c>
    </row>
  </sheetData>
  <autoFilter ref="A1:K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2" customWidth="1" min="4" max="4"/>
    <col width="13" customWidth="1" min="5" max="5"/>
    <col width="18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1">
      <c r="A1" s="5" t="inlineStr">
        <is>
          <t>Year</t>
        </is>
      </c>
      <c r="B1" s="5" t="inlineStr">
        <is>
          <t>Code</t>
        </is>
      </c>
      <c r="C1" s="5" t="inlineStr">
        <is>
          <t>Requests received</t>
        </is>
      </c>
      <c r="D1" s="5" t="inlineStr">
        <is>
          <t>Requests completed</t>
        </is>
      </c>
      <c r="E1" s="5" t="inlineStr">
        <is>
          <t>Completed ÷ received</t>
        </is>
      </c>
      <c r="F1" s="5" t="inlineStr">
        <is>
          <t>Net backlog change (received − completed)</t>
        </is>
      </c>
      <c r="G1" s="5" t="inlineStr">
        <is>
          <t>% within 30 days (calc)</t>
        </is>
      </c>
      <c r="H1" s="5" t="inlineStr">
        <is>
          <t>Check vs reported (pp)</t>
        </is>
      </c>
      <c r="I1" s="5" t="inlineStr">
        <is>
          <t>% over 90 days (calc)</t>
        </is>
      </c>
      <c r="J1" s="5" t="inlineStr">
        <is>
          <t>Check vs reported (pp)</t>
        </is>
      </c>
      <c r="K1" s="5" t="inlineStr">
        <is>
          <t>Share of provincial requests</t>
        </is>
      </c>
    </row>
    <row r="2">
      <c r="A2" s="10">
        <f>'2_Raw_Data'!A2</f>
        <v/>
      </c>
      <c r="B2" s="10">
        <f>'2_Raw_Data'!B2</f>
        <v/>
      </c>
      <c r="C2" s="10">
        <f>'2_Raw_Data'!D2</f>
        <v/>
      </c>
      <c r="D2" s="10">
        <f>'2_Raw_Data'!E2</f>
        <v/>
      </c>
      <c r="E2" s="11">
        <f>IFERROR(D2/C2,"n/a")</f>
        <v/>
      </c>
      <c r="F2" s="12">
        <f>C2-D2</f>
        <v/>
      </c>
      <c r="G2" s="13">
        <f>IFERROR('2_Raw_Data'!F2/D2,"n/a")</f>
        <v/>
      </c>
      <c r="H2" s="14">
        <f>IFERROR((G2-'2_Raw_Data'!G2)*100,"n/a")</f>
        <v/>
      </c>
      <c r="I2" s="13">
        <f>IFERROR('2_Raw_Data'!I2/D2,"n/a")</f>
        <v/>
      </c>
      <c r="J2" s="14">
        <f>IFERROR((I2-'2_Raw_Data'!J2)*100,"n/a")</f>
        <v/>
      </c>
      <c r="K2" s="13">
        <f>C2/SUMIFS(C:C,A:A,A2,B:B,"TOTAL")</f>
        <v/>
      </c>
    </row>
    <row r="3">
      <c r="A3" s="10">
        <f>'2_Raw_Data'!A3</f>
        <v/>
      </c>
      <c r="B3" s="10">
        <f>'2_Raw_Data'!B3</f>
        <v/>
      </c>
      <c r="C3" s="10">
        <f>'2_Raw_Data'!D3</f>
        <v/>
      </c>
      <c r="D3" s="10">
        <f>'2_Raw_Data'!E3</f>
        <v/>
      </c>
      <c r="E3" s="11">
        <f>IFERROR(D3/C3,"n/a")</f>
        <v/>
      </c>
      <c r="F3" s="12">
        <f>C3-D3</f>
        <v/>
      </c>
      <c r="G3" s="13">
        <f>IFERROR('2_Raw_Data'!F3/D3,"n/a")</f>
        <v/>
      </c>
      <c r="H3" s="14">
        <f>IFERROR((G3-'2_Raw_Data'!G3)*100,"n/a")</f>
        <v/>
      </c>
      <c r="I3" s="13">
        <f>IFERROR('2_Raw_Data'!I3/D3,"n/a")</f>
        <v/>
      </c>
      <c r="J3" s="14">
        <f>IFERROR((I3-'2_Raw_Data'!J3)*100,"n/a")</f>
        <v/>
      </c>
      <c r="K3" s="13">
        <f>C3/SUMIFS(C:C,A:A,A3,B:B,"TOTAL")</f>
        <v/>
      </c>
    </row>
    <row r="4">
      <c r="A4" s="10">
        <f>'2_Raw_Data'!A4</f>
        <v/>
      </c>
      <c r="B4" s="10">
        <f>'2_Raw_Data'!B4</f>
        <v/>
      </c>
      <c r="C4" s="10">
        <f>'2_Raw_Data'!D4</f>
        <v/>
      </c>
      <c r="D4" s="10">
        <f>'2_Raw_Data'!E4</f>
        <v/>
      </c>
      <c r="E4" s="11">
        <f>IFERROR(D4/C4,"n/a")</f>
        <v/>
      </c>
      <c r="F4" s="12">
        <f>C4-D4</f>
        <v/>
      </c>
      <c r="G4" s="13">
        <f>IFERROR('2_Raw_Data'!F4/D4,"n/a")</f>
        <v/>
      </c>
      <c r="H4" s="14">
        <f>IFERROR((G4-'2_Raw_Data'!G4)*100,"n/a")</f>
        <v/>
      </c>
      <c r="I4" s="13">
        <f>IFERROR('2_Raw_Data'!I4/D4,"n/a")</f>
        <v/>
      </c>
      <c r="J4" s="14">
        <f>IFERROR((I4-'2_Raw_Data'!J4)*100,"n/a")</f>
        <v/>
      </c>
      <c r="K4" s="13">
        <f>C4/SUMIFS(C:C,A:A,A4,B:B,"TOTAL")</f>
        <v/>
      </c>
    </row>
    <row r="5">
      <c r="A5" s="10">
        <f>'2_Raw_Data'!A5</f>
        <v/>
      </c>
      <c r="B5" s="10">
        <f>'2_Raw_Data'!B5</f>
        <v/>
      </c>
      <c r="C5" s="10">
        <f>'2_Raw_Data'!D5</f>
        <v/>
      </c>
      <c r="D5" s="10">
        <f>'2_Raw_Data'!E5</f>
        <v/>
      </c>
      <c r="E5" s="11">
        <f>IFERROR(D5/C5,"n/a")</f>
        <v/>
      </c>
      <c r="F5" s="12">
        <f>C5-D5</f>
        <v/>
      </c>
      <c r="G5" s="13">
        <f>IFERROR('2_Raw_Data'!F5/D5,"n/a")</f>
        <v/>
      </c>
      <c r="H5" s="14">
        <f>IFERROR((G5-'2_Raw_Data'!G5)*100,"n/a")</f>
        <v/>
      </c>
      <c r="I5" s="13">
        <f>IFERROR('2_Raw_Data'!I5/D5,"n/a")</f>
        <v/>
      </c>
      <c r="J5" s="14">
        <f>IFERROR((I5-'2_Raw_Data'!J5)*100,"n/a")</f>
        <v/>
      </c>
      <c r="K5" s="13">
        <f>C5/SUMIFS(C:C,A:A,A5,B:B,"TOTAL")</f>
        <v/>
      </c>
    </row>
    <row r="6">
      <c r="A6" s="10">
        <f>'2_Raw_Data'!A6</f>
        <v/>
      </c>
      <c r="B6" s="10">
        <f>'2_Raw_Data'!B6</f>
        <v/>
      </c>
      <c r="C6" s="10">
        <f>'2_Raw_Data'!D6</f>
        <v/>
      </c>
      <c r="D6" s="10">
        <f>'2_Raw_Data'!E6</f>
        <v/>
      </c>
      <c r="E6" s="11">
        <f>IFERROR(D6/C6,"n/a")</f>
        <v/>
      </c>
      <c r="F6" s="12">
        <f>C6-D6</f>
        <v/>
      </c>
      <c r="G6" s="13">
        <f>IFERROR('2_Raw_Data'!F6/D6,"n/a")</f>
        <v/>
      </c>
      <c r="H6" s="14">
        <f>IFERROR((G6-'2_Raw_Data'!G6)*100,"n/a")</f>
        <v/>
      </c>
      <c r="I6" s="13">
        <f>IFERROR('2_Raw_Data'!I6/D6,"n/a")</f>
        <v/>
      </c>
      <c r="J6" s="14">
        <f>IFERROR((I6-'2_Raw_Data'!J6)*100,"n/a")</f>
        <v/>
      </c>
      <c r="K6" s="13">
        <f>C6/SUMIFS(C:C,A:A,A6,B:B,"TOTAL")</f>
        <v/>
      </c>
    </row>
    <row r="7">
      <c r="A7" s="10">
        <f>'2_Raw_Data'!A7</f>
        <v/>
      </c>
      <c r="B7" s="10">
        <f>'2_Raw_Data'!B7</f>
        <v/>
      </c>
      <c r="C7" s="10">
        <f>'2_Raw_Data'!D7</f>
        <v/>
      </c>
      <c r="D7" s="10">
        <f>'2_Raw_Data'!E7</f>
        <v/>
      </c>
      <c r="E7" s="11">
        <f>IFERROR(D7/C7,"n/a")</f>
        <v/>
      </c>
      <c r="F7" s="12">
        <f>C7-D7</f>
        <v/>
      </c>
      <c r="G7" s="13">
        <f>IFERROR('2_Raw_Data'!F7/D7,"n/a")</f>
        <v/>
      </c>
      <c r="H7" s="14">
        <f>IFERROR((G7-'2_Raw_Data'!G7)*100,"n/a")</f>
        <v/>
      </c>
      <c r="I7" s="13">
        <f>IFERROR('2_Raw_Data'!I7/D7,"n/a")</f>
        <v/>
      </c>
      <c r="J7" s="14">
        <f>IFERROR((I7-'2_Raw_Data'!J7)*100,"n/a")</f>
        <v/>
      </c>
      <c r="K7" s="13">
        <f>C7/SUMIFS(C:C,A:A,A7,B:B,"TOTAL")</f>
        <v/>
      </c>
    </row>
    <row r="8">
      <c r="A8" s="10">
        <f>'2_Raw_Data'!A8</f>
        <v/>
      </c>
      <c r="B8" s="10">
        <f>'2_Raw_Data'!B8</f>
        <v/>
      </c>
      <c r="C8" s="10">
        <f>'2_Raw_Data'!D8</f>
        <v/>
      </c>
      <c r="D8" s="10">
        <f>'2_Raw_Data'!E8</f>
        <v/>
      </c>
      <c r="E8" s="11">
        <f>IFERROR(D8/C8,"n/a")</f>
        <v/>
      </c>
      <c r="F8" s="12">
        <f>C8-D8</f>
        <v/>
      </c>
      <c r="G8" s="13">
        <f>IFERROR('2_Raw_Data'!F8/D8,"n/a")</f>
        <v/>
      </c>
      <c r="H8" s="14">
        <f>IFERROR((G8-'2_Raw_Data'!G8)*100,"n/a")</f>
        <v/>
      </c>
      <c r="I8" s="13">
        <f>IFERROR('2_Raw_Data'!I8/D8,"n/a")</f>
        <v/>
      </c>
      <c r="J8" s="14">
        <f>IFERROR((I8-'2_Raw_Data'!J8)*100,"n/a")</f>
        <v/>
      </c>
      <c r="K8" s="13">
        <f>C8/SUMIFS(C:C,A:A,A8,B:B,"TOTAL")</f>
        <v/>
      </c>
    </row>
    <row r="9">
      <c r="A9" s="10">
        <f>'2_Raw_Data'!A9</f>
        <v/>
      </c>
      <c r="B9" s="10">
        <f>'2_Raw_Data'!B9</f>
        <v/>
      </c>
      <c r="C9" s="10">
        <f>'2_Raw_Data'!D9</f>
        <v/>
      </c>
      <c r="D9" s="10">
        <f>'2_Raw_Data'!E9</f>
        <v/>
      </c>
      <c r="E9" s="11">
        <f>IFERROR(D9/C9,"n/a")</f>
        <v/>
      </c>
      <c r="F9" s="12">
        <f>C9-D9</f>
        <v/>
      </c>
      <c r="G9" s="13">
        <f>IFERROR('2_Raw_Data'!F9/D9,"n/a")</f>
        <v/>
      </c>
      <c r="H9" s="14">
        <f>IFERROR((G9-'2_Raw_Data'!G9)*100,"n/a")</f>
        <v/>
      </c>
      <c r="I9" s="13">
        <f>IFERROR('2_Raw_Data'!I9/D9,"n/a")</f>
        <v/>
      </c>
      <c r="J9" s="14">
        <f>IFERROR((I9-'2_Raw_Data'!J9)*100,"n/a")</f>
        <v/>
      </c>
      <c r="K9" s="13">
        <f>C9/SUMIFS(C:C,A:A,A9,B:B,"TOTAL")</f>
        <v/>
      </c>
    </row>
    <row r="10">
      <c r="A10" s="10">
        <f>'2_Raw_Data'!A10</f>
        <v/>
      </c>
      <c r="B10" s="10">
        <f>'2_Raw_Data'!B10</f>
        <v/>
      </c>
      <c r="C10" s="10">
        <f>'2_Raw_Data'!D10</f>
        <v/>
      </c>
      <c r="D10" s="10">
        <f>'2_Raw_Data'!E10</f>
        <v/>
      </c>
      <c r="E10" s="11">
        <f>IFERROR(D10/C10,"n/a")</f>
        <v/>
      </c>
      <c r="F10" s="12">
        <f>C10-D10</f>
        <v/>
      </c>
      <c r="G10" s="13">
        <f>IFERROR('2_Raw_Data'!F10/D10,"n/a")</f>
        <v/>
      </c>
      <c r="H10" s="14">
        <f>IFERROR((G10-'2_Raw_Data'!G10)*100,"n/a")</f>
        <v/>
      </c>
      <c r="I10" s="13">
        <f>IFERROR('2_Raw_Data'!I10/D10,"n/a")</f>
        <v/>
      </c>
      <c r="J10" s="14">
        <f>IFERROR((I10-'2_Raw_Data'!J10)*100,"n/a")</f>
        <v/>
      </c>
      <c r="K10" s="13">
        <f>C10/SUMIFS(C:C,A:A,A10,B:B,"TOTAL")</f>
        <v/>
      </c>
    </row>
    <row r="11">
      <c r="A11" s="10">
        <f>'2_Raw_Data'!A11</f>
        <v/>
      </c>
      <c r="B11" s="10">
        <f>'2_Raw_Data'!B11</f>
        <v/>
      </c>
      <c r="C11" s="10">
        <f>'2_Raw_Data'!D11</f>
        <v/>
      </c>
      <c r="D11" s="10">
        <f>'2_Raw_Data'!E11</f>
        <v/>
      </c>
      <c r="E11" s="11">
        <f>IFERROR(D11/C11,"n/a")</f>
        <v/>
      </c>
      <c r="F11" s="12">
        <f>C11-D11</f>
        <v/>
      </c>
      <c r="G11" s="13">
        <f>IFERROR('2_Raw_Data'!F11/D11,"n/a")</f>
        <v/>
      </c>
      <c r="H11" s="14">
        <f>IFERROR((G11-'2_Raw_Data'!G11)*100,"n/a")</f>
        <v/>
      </c>
      <c r="I11" s="13">
        <f>IFERROR('2_Raw_Data'!I11/D11,"n/a")</f>
        <v/>
      </c>
      <c r="J11" s="14">
        <f>IFERROR((I11-'2_Raw_Data'!J11)*100,"n/a")</f>
        <v/>
      </c>
      <c r="K11" s="13">
        <f>C11/SUMIFS(C:C,A:A,A11,B:B,"TOTAL")</f>
        <v/>
      </c>
    </row>
    <row r="12">
      <c r="A12" s="10">
        <f>'2_Raw_Data'!A12</f>
        <v/>
      </c>
      <c r="B12" s="10">
        <f>'2_Raw_Data'!B12</f>
        <v/>
      </c>
      <c r="C12" s="10">
        <f>'2_Raw_Data'!D12</f>
        <v/>
      </c>
      <c r="D12" s="10">
        <f>'2_Raw_Data'!E12</f>
        <v/>
      </c>
      <c r="E12" s="11">
        <f>IFERROR(D12/C12,"n/a")</f>
        <v/>
      </c>
      <c r="F12" s="12">
        <f>C12-D12</f>
        <v/>
      </c>
      <c r="G12" s="13">
        <f>IFERROR('2_Raw_Data'!F12/D12,"n/a")</f>
        <v/>
      </c>
      <c r="H12" s="14">
        <f>IFERROR((G12-'2_Raw_Data'!G12)*100,"n/a")</f>
        <v/>
      </c>
      <c r="I12" s="13">
        <f>IFERROR('2_Raw_Data'!I12/D12,"n/a")</f>
        <v/>
      </c>
      <c r="J12" s="14">
        <f>IFERROR((I12-'2_Raw_Data'!J12)*100,"n/a")</f>
        <v/>
      </c>
      <c r="K12" s="13">
        <f>C12/SUMIFS(C:C,A:A,A12,B:B,"TOTAL")</f>
        <v/>
      </c>
    </row>
    <row r="13">
      <c r="A13" s="10">
        <f>'2_Raw_Data'!A13</f>
        <v/>
      </c>
      <c r="B13" s="10">
        <f>'2_Raw_Data'!B13</f>
        <v/>
      </c>
      <c r="C13" s="10">
        <f>'2_Raw_Data'!D13</f>
        <v/>
      </c>
      <c r="D13" s="10">
        <f>'2_Raw_Data'!E13</f>
        <v/>
      </c>
      <c r="E13" s="11">
        <f>IFERROR(D13/C13,"n/a")</f>
        <v/>
      </c>
      <c r="F13" s="12">
        <f>C13-D13</f>
        <v/>
      </c>
      <c r="G13" s="13">
        <f>IFERROR('2_Raw_Data'!F13/D13,"n/a")</f>
        <v/>
      </c>
      <c r="H13" s="14">
        <f>IFERROR((G13-'2_Raw_Data'!G13)*100,"n/a")</f>
        <v/>
      </c>
      <c r="I13" s="13">
        <f>IFERROR('2_Raw_Data'!I13/D13,"n/a")</f>
        <v/>
      </c>
      <c r="J13" s="14">
        <f>IFERROR((I13-'2_Raw_Data'!J13)*100,"n/a")</f>
        <v/>
      </c>
      <c r="K13" s="13">
        <f>C13/SUMIFS(C:C,A:A,A13,B:B,"TOTAL")</f>
        <v/>
      </c>
    </row>
    <row r="14">
      <c r="A14" s="10">
        <f>'2_Raw_Data'!A14</f>
        <v/>
      </c>
      <c r="B14" s="10">
        <f>'2_Raw_Data'!B14</f>
        <v/>
      </c>
      <c r="C14" s="10">
        <f>'2_Raw_Data'!D14</f>
        <v/>
      </c>
      <c r="D14" s="10">
        <f>'2_Raw_Data'!E14</f>
        <v/>
      </c>
      <c r="E14" s="11">
        <f>IFERROR(D14/C14,"n/a")</f>
        <v/>
      </c>
      <c r="F14" s="12">
        <f>C14-D14</f>
        <v/>
      </c>
      <c r="G14" s="13">
        <f>IFERROR('2_Raw_Data'!F14/D14,"n/a")</f>
        <v/>
      </c>
      <c r="H14" s="14">
        <f>IFERROR((G14-'2_Raw_Data'!G14)*100,"n/a")</f>
        <v/>
      </c>
      <c r="I14" s="13">
        <f>IFERROR('2_Raw_Data'!I14/D14,"n/a")</f>
        <v/>
      </c>
      <c r="J14" s="14">
        <f>IFERROR((I14-'2_Raw_Data'!J14)*100,"n/a")</f>
        <v/>
      </c>
      <c r="K14" s="13">
        <f>C14/SUMIFS(C:C,A:A,A14,B:B,"TOTAL")</f>
        <v/>
      </c>
    </row>
    <row r="15">
      <c r="A15" s="10">
        <f>'2_Raw_Data'!A15</f>
        <v/>
      </c>
      <c r="B15" s="10">
        <f>'2_Raw_Data'!B15</f>
        <v/>
      </c>
      <c r="C15" s="10">
        <f>'2_Raw_Data'!D15</f>
        <v/>
      </c>
      <c r="D15" s="10">
        <f>'2_Raw_Data'!E15</f>
        <v/>
      </c>
      <c r="E15" s="11">
        <f>IFERROR(D15/C15,"n/a")</f>
        <v/>
      </c>
      <c r="F15" s="12">
        <f>C15-D15</f>
        <v/>
      </c>
      <c r="G15" s="13">
        <f>IFERROR('2_Raw_Data'!F15/D15,"n/a")</f>
        <v/>
      </c>
      <c r="H15" s="14">
        <f>IFERROR((G15-'2_Raw_Data'!G15)*100,"n/a")</f>
        <v/>
      </c>
      <c r="I15" s="13">
        <f>IFERROR('2_Raw_Data'!I15/D15,"n/a")</f>
        <v/>
      </c>
      <c r="J15" s="14">
        <f>IFERROR((I15-'2_Raw_Data'!J15)*100,"n/a")</f>
        <v/>
      </c>
      <c r="K15" s="13">
        <f>C15/SUMIFS(C:C,A:A,A15,B:B,"TOTAL")</f>
        <v/>
      </c>
    </row>
    <row r="16">
      <c r="A16" s="10">
        <f>'2_Raw_Data'!A16</f>
        <v/>
      </c>
      <c r="B16" s="10">
        <f>'2_Raw_Data'!B16</f>
        <v/>
      </c>
      <c r="C16" s="10">
        <f>'2_Raw_Data'!D16</f>
        <v/>
      </c>
      <c r="D16" s="10">
        <f>'2_Raw_Data'!E16</f>
        <v/>
      </c>
      <c r="E16" s="11">
        <f>IFERROR(D16/C16,"n/a")</f>
        <v/>
      </c>
      <c r="F16" s="12">
        <f>C16-D16</f>
        <v/>
      </c>
      <c r="G16" s="13">
        <f>IFERROR('2_Raw_Data'!F16/D16,"n/a")</f>
        <v/>
      </c>
      <c r="H16" s="14">
        <f>IFERROR((G16-'2_Raw_Data'!G16)*100,"n/a")</f>
        <v/>
      </c>
      <c r="I16" s="13">
        <f>IFERROR('2_Raw_Data'!I16/D16,"n/a")</f>
        <v/>
      </c>
      <c r="J16" s="14">
        <f>IFERROR((I16-'2_Raw_Data'!J16)*100,"n/a")</f>
        <v/>
      </c>
      <c r="K16" s="13">
        <f>C16/SUMIFS(C:C,A:A,A16,B:B,"TOTAL")</f>
        <v/>
      </c>
    </row>
    <row r="17">
      <c r="A17" s="10">
        <f>'2_Raw_Data'!A17</f>
        <v/>
      </c>
      <c r="B17" s="10">
        <f>'2_Raw_Data'!B17</f>
        <v/>
      </c>
      <c r="C17" s="10">
        <f>'2_Raw_Data'!D17</f>
        <v/>
      </c>
      <c r="D17" s="10">
        <f>'2_Raw_Data'!E17</f>
        <v/>
      </c>
      <c r="E17" s="11">
        <f>IFERROR(D17/C17,"n/a")</f>
        <v/>
      </c>
      <c r="F17" s="12">
        <f>C17-D17</f>
        <v/>
      </c>
      <c r="G17" s="13">
        <f>IFERROR('2_Raw_Data'!F17/D17,"n/a")</f>
        <v/>
      </c>
      <c r="H17" s="14">
        <f>IFERROR((G17-'2_Raw_Data'!G17)*100,"n/a")</f>
        <v/>
      </c>
      <c r="I17" s="13">
        <f>IFERROR('2_Raw_Data'!I17/D17,"n/a")</f>
        <v/>
      </c>
      <c r="J17" s="14">
        <f>IFERROR((I17-'2_Raw_Data'!J17)*100,"n/a")</f>
        <v/>
      </c>
      <c r="K17" s="13">
        <f>C17/SUMIFS(C:C,A:A,A17,B:B,"TOTAL")</f>
        <v/>
      </c>
    </row>
    <row r="18">
      <c r="A18" s="10">
        <f>'2_Raw_Data'!A18</f>
        <v/>
      </c>
      <c r="B18" s="10">
        <f>'2_Raw_Data'!B18</f>
        <v/>
      </c>
      <c r="C18" s="10">
        <f>'2_Raw_Data'!D18</f>
        <v/>
      </c>
      <c r="D18" s="10">
        <f>'2_Raw_Data'!E18</f>
        <v/>
      </c>
      <c r="E18" s="11">
        <f>IFERROR(D18/C18,"n/a")</f>
        <v/>
      </c>
      <c r="F18" s="12">
        <f>C18-D18</f>
        <v/>
      </c>
      <c r="G18" s="13">
        <f>IFERROR('2_Raw_Data'!F18/D18,"n/a")</f>
        <v/>
      </c>
      <c r="H18" s="14">
        <f>IFERROR((G18-'2_Raw_Data'!G18)*100,"n/a")</f>
        <v/>
      </c>
      <c r="I18" s="13">
        <f>IFERROR('2_Raw_Data'!I18/D18,"n/a")</f>
        <v/>
      </c>
      <c r="J18" s="14">
        <f>IFERROR((I18-'2_Raw_Data'!J18)*100,"n/a")</f>
        <v/>
      </c>
      <c r="K18" s="13">
        <f>C18/SUMIFS(C:C,A:A,A18,B:B,"TOTAL")</f>
        <v/>
      </c>
    </row>
    <row r="19">
      <c r="A19" s="10">
        <f>'2_Raw_Data'!A19</f>
        <v/>
      </c>
      <c r="B19" s="10">
        <f>'2_Raw_Data'!B19</f>
        <v/>
      </c>
      <c r="C19" s="10">
        <f>'2_Raw_Data'!D19</f>
        <v/>
      </c>
      <c r="D19" s="10">
        <f>'2_Raw_Data'!E19</f>
        <v/>
      </c>
      <c r="E19" s="11">
        <f>IFERROR(D19/C19,"n/a")</f>
        <v/>
      </c>
      <c r="F19" s="12">
        <f>C19-D19</f>
        <v/>
      </c>
      <c r="G19" s="13">
        <f>IFERROR('2_Raw_Data'!F19/D19,"n/a")</f>
        <v/>
      </c>
      <c r="H19" s="14">
        <f>IFERROR((G19-'2_Raw_Data'!G19)*100,"n/a")</f>
        <v/>
      </c>
      <c r="I19" s="13">
        <f>IFERROR('2_Raw_Data'!I19/D19,"n/a")</f>
        <v/>
      </c>
      <c r="J19" s="14">
        <f>IFERROR((I19-'2_Raw_Data'!J19)*100,"n/a")</f>
        <v/>
      </c>
      <c r="K19" s="13">
        <f>C19/SUMIFS(C:C,A:A,A19,B:B,"TOTAL")</f>
        <v/>
      </c>
    </row>
    <row r="20">
      <c r="A20" s="10">
        <f>'2_Raw_Data'!A20</f>
        <v/>
      </c>
      <c r="B20" s="10">
        <f>'2_Raw_Data'!B20</f>
        <v/>
      </c>
      <c r="C20" s="10">
        <f>'2_Raw_Data'!D20</f>
        <v/>
      </c>
      <c r="D20" s="10">
        <f>'2_Raw_Data'!E20</f>
        <v/>
      </c>
      <c r="E20" s="11">
        <f>IFERROR(D20/C20,"n/a")</f>
        <v/>
      </c>
      <c r="F20" s="12">
        <f>C20-D20</f>
        <v/>
      </c>
      <c r="G20" s="13">
        <f>IFERROR('2_Raw_Data'!F20/D20,"n/a")</f>
        <v/>
      </c>
      <c r="H20" s="14">
        <f>IFERROR((G20-'2_Raw_Data'!G20)*100,"n/a")</f>
        <v/>
      </c>
      <c r="I20" s="13">
        <f>IFERROR('2_Raw_Data'!I20/D20,"n/a")</f>
        <v/>
      </c>
      <c r="J20" s="14">
        <f>IFERROR((I20-'2_Raw_Data'!J20)*100,"n/a")</f>
        <v/>
      </c>
      <c r="K20" s="13">
        <f>C20/SUMIFS(C:C,A:A,A20,B:B,"TOTAL")</f>
        <v/>
      </c>
    </row>
    <row r="21">
      <c r="A21" s="10">
        <f>'2_Raw_Data'!A21</f>
        <v/>
      </c>
      <c r="B21" s="10">
        <f>'2_Raw_Data'!B21</f>
        <v/>
      </c>
      <c r="C21" s="10">
        <f>'2_Raw_Data'!D21</f>
        <v/>
      </c>
      <c r="D21" s="10">
        <f>'2_Raw_Data'!E21</f>
        <v/>
      </c>
      <c r="E21" s="11">
        <f>IFERROR(D21/C21,"n/a")</f>
        <v/>
      </c>
      <c r="F21" s="12">
        <f>C21-D21</f>
        <v/>
      </c>
      <c r="G21" s="13">
        <f>IFERROR('2_Raw_Data'!F21/D21,"n/a")</f>
        <v/>
      </c>
      <c r="H21" s="14">
        <f>IFERROR((G21-'2_Raw_Data'!G21)*100,"n/a")</f>
        <v/>
      </c>
      <c r="I21" s="13">
        <f>IFERROR('2_Raw_Data'!I21/D21,"n/a")</f>
        <v/>
      </c>
      <c r="J21" s="14">
        <f>IFERROR((I21-'2_Raw_Data'!J21)*100,"n/a")</f>
        <v/>
      </c>
      <c r="K21" s="13">
        <f>C21/SUMIFS(C:C,A:A,A21,B:B,"TOTAL")</f>
        <v/>
      </c>
    </row>
    <row r="22">
      <c r="A22" s="10">
        <f>'2_Raw_Data'!A22</f>
        <v/>
      </c>
      <c r="B22" s="10">
        <f>'2_Raw_Data'!B22</f>
        <v/>
      </c>
      <c r="C22" s="10">
        <f>'2_Raw_Data'!D22</f>
        <v/>
      </c>
      <c r="D22" s="10">
        <f>'2_Raw_Data'!E22</f>
        <v/>
      </c>
      <c r="E22" s="11">
        <f>IFERROR(D22/C22,"n/a")</f>
        <v/>
      </c>
      <c r="F22" s="12">
        <f>C22-D22</f>
        <v/>
      </c>
      <c r="G22" s="13">
        <f>IFERROR('2_Raw_Data'!F22/D22,"n/a")</f>
        <v/>
      </c>
      <c r="H22" s="14">
        <f>IFERROR((G22-'2_Raw_Data'!G22)*100,"n/a")</f>
        <v/>
      </c>
      <c r="I22" s="13">
        <f>IFERROR('2_Raw_Data'!I22/D22,"n/a")</f>
        <v/>
      </c>
      <c r="J22" s="14">
        <f>IFERROR((I22-'2_Raw_Data'!J22)*100,"n/a")</f>
        <v/>
      </c>
      <c r="K22" s="13">
        <f>C22/SUMIFS(C:C,A:A,A22,B:B,"TOTAL")</f>
        <v/>
      </c>
    </row>
    <row r="23">
      <c r="A23" s="10">
        <f>'2_Raw_Data'!A23</f>
        <v/>
      </c>
      <c r="B23" s="10">
        <f>'2_Raw_Data'!B23</f>
        <v/>
      </c>
      <c r="C23" s="10">
        <f>'2_Raw_Data'!D23</f>
        <v/>
      </c>
      <c r="D23" s="10">
        <f>'2_Raw_Data'!E23</f>
        <v/>
      </c>
      <c r="E23" s="11">
        <f>IFERROR(D23/C23,"n/a")</f>
        <v/>
      </c>
      <c r="F23" s="12">
        <f>C23-D23</f>
        <v/>
      </c>
      <c r="G23" s="13">
        <f>IFERROR('2_Raw_Data'!F23/D23,"n/a")</f>
        <v/>
      </c>
      <c r="H23" s="14">
        <f>IFERROR((G23-'2_Raw_Data'!G23)*100,"n/a")</f>
        <v/>
      </c>
      <c r="I23" s="13">
        <f>IFERROR('2_Raw_Data'!I23/D23,"n/a")</f>
        <v/>
      </c>
      <c r="J23" s="14">
        <f>IFERROR((I23-'2_Raw_Data'!J23)*100,"n/a")</f>
        <v/>
      </c>
      <c r="K23" s="13">
        <f>C23/SUMIFS(C:C,A:A,A23,B:B,"TOTAL")</f>
        <v/>
      </c>
    </row>
    <row r="24">
      <c r="A24" s="10">
        <f>'2_Raw_Data'!A24</f>
        <v/>
      </c>
      <c r="B24" s="10">
        <f>'2_Raw_Data'!B24</f>
        <v/>
      </c>
      <c r="C24" s="10">
        <f>'2_Raw_Data'!D24</f>
        <v/>
      </c>
      <c r="D24" s="10">
        <f>'2_Raw_Data'!E24</f>
        <v/>
      </c>
      <c r="E24" s="11">
        <f>IFERROR(D24/C24,"n/a")</f>
        <v/>
      </c>
      <c r="F24" s="12">
        <f>C24-D24</f>
        <v/>
      </c>
      <c r="G24" s="13">
        <f>IFERROR('2_Raw_Data'!F24/D24,"n/a")</f>
        <v/>
      </c>
      <c r="H24" s="14">
        <f>IFERROR((G24-'2_Raw_Data'!G24)*100,"n/a")</f>
        <v/>
      </c>
      <c r="I24" s="13">
        <f>IFERROR('2_Raw_Data'!I24/D24,"n/a")</f>
        <v/>
      </c>
      <c r="J24" s="14">
        <f>IFERROR((I24-'2_Raw_Data'!J24)*100,"n/a")</f>
        <v/>
      </c>
      <c r="K24" s="13">
        <f>C24/SUMIFS(C:C,A:A,A24,B:B,"TOTAL")</f>
        <v/>
      </c>
    </row>
    <row r="25">
      <c r="A25" s="10">
        <f>'2_Raw_Data'!A25</f>
        <v/>
      </c>
      <c r="B25" s="10">
        <f>'2_Raw_Data'!B25</f>
        <v/>
      </c>
      <c r="C25" s="10">
        <f>'2_Raw_Data'!D25</f>
        <v/>
      </c>
      <c r="D25" s="10">
        <f>'2_Raw_Data'!E25</f>
        <v/>
      </c>
      <c r="E25" s="11">
        <f>IFERROR(D25/C25,"n/a")</f>
        <v/>
      </c>
      <c r="F25" s="12">
        <f>C25-D25</f>
        <v/>
      </c>
      <c r="G25" s="13">
        <f>IFERROR('2_Raw_Data'!F25/D25,"n/a")</f>
        <v/>
      </c>
      <c r="H25" s="14">
        <f>IFERROR((G25-'2_Raw_Data'!G25)*100,"n/a")</f>
        <v/>
      </c>
      <c r="I25" s="13">
        <f>IFERROR('2_Raw_Data'!I25/D25,"n/a")</f>
        <v/>
      </c>
      <c r="J25" s="14">
        <f>IFERROR((I25-'2_Raw_Data'!J25)*100,"n/a")</f>
        <v/>
      </c>
      <c r="K25" s="13">
        <f>C25/SUMIFS(C:C,A:A,A25,B:B,"TOTAL")</f>
        <v/>
      </c>
    </row>
    <row r="26">
      <c r="A26" s="10">
        <f>'2_Raw_Data'!A26</f>
        <v/>
      </c>
      <c r="B26" s="10">
        <f>'2_Raw_Data'!B26</f>
        <v/>
      </c>
      <c r="C26" s="10">
        <f>'2_Raw_Data'!D26</f>
        <v/>
      </c>
      <c r="D26" s="10">
        <f>'2_Raw_Data'!E26</f>
        <v/>
      </c>
      <c r="E26" s="11">
        <f>IFERROR(D26/C26,"n/a")</f>
        <v/>
      </c>
      <c r="F26" s="12">
        <f>C26-D26</f>
        <v/>
      </c>
      <c r="G26" s="13">
        <f>IFERROR('2_Raw_Data'!F26/D26,"n/a")</f>
        <v/>
      </c>
      <c r="H26" s="14">
        <f>IFERROR((G26-'2_Raw_Data'!G26)*100,"n/a")</f>
        <v/>
      </c>
      <c r="I26" s="13">
        <f>IFERROR('2_Raw_Data'!I26/D26,"n/a")</f>
        <v/>
      </c>
      <c r="J26" s="14">
        <f>IFERROR((I26-'2_Raw_Data'!J26)*100,"n/a")</f>
        <v/>
      </c>
      <c r="K26" s="13">
        <f>C26/SUMIFS(C:C,A:A,A26,B:B,"TOTAL")</f>
        <v/>
      </c>
    </row>
    <row r="27">
      <c r="A27" s="10">
        <f>'2_Raw_Data'!A27</f>
        <v/>
      </c>
      <c r="B27" s="10">
        <f>'2_Raw_Data'!B27</f>
        <v/>
      </c>
      <c r="C27" s="10">
        <f>'2_Raw_Data'!D27</f>
        <v/>
      </c>
      <c r="D27" s="10">
        <f>'2_Raw_Data'!E27</f>
        <v/>
      </c>
      <c r="E27" s="11">
        <f>IFERROR(D27/C27,"n/a")</f>
        <v/>
      </c>
      <c r="F27" s="12">
        <f>C27-D27</f>
        <v/>
      </c>
      <c r="G27" s="13">
        <f>IFERROR('2_Raw_Data'!F27/D27,"n/a")</f>
        <v/>
      </c>
      <c r="H27" s="14">
        <f>IFERROR((G27-'2_Raw_Data'!G27)*100,"n/a")</f>
        <v/>
      </c>
      <c r="I27" s="13">
        <f>IFERROR('2_Raw_Data'!I27/D27,"n/a")</f>
        <v/>
      </c>
      <c r="J27" s="14">
        <f>IFERROR((I27-'2_Raw_Data'!J27)*100,"n/a")</f>
        <v/>
      </c>
      <c r="K27" s="13">
        <f>C27/SUMIFS(C:C,A:A,A27,B:B,"TOTAL")</f>
        <v/>
      </c>
    </row>
    <row r="28">
      <c r="A28" s="10">
        <f>'2_Raw_Data'!A28</f>
        <v/>
      </c>
      <c r="B28" s="10">
        <f>'2_Raw_Data'!B28</f>
        <v/>
      </c>
      <c r="C28" s="10">
        <f>'2_Raw_Data'!D28</f>
        <v/>
      </c>
      <c r="D28" s="10">
        <f>'2_Raw_Data'!E28</f>
        <v/>
      </c>
      <c r="E28" s="11">
        <f>IFERROR(D28/C28,"n/a")</f>
        <v/>
      </c>
      <c r="F28" s="12">
        <f>C28-D28</f>
        <v/>
      </c>
      <c r="G28" s="13">
        <f>IFERROR('2_Raw_Data'!F28/D28,"n/a")</f>
        <v/>
      </c>
      <c r="H28" s="14">
        <f>IFERROR((G28-'2_Raw_Data'!G28)*100,"n/a")</f>
        <v/>
      </c>
      <c r="I28" s="13">
        <f>IFERROR('2_Raw_Data'!I28/D28,"n/a")</f>
        <v/>
      </c>
      <c r="J28" s="14">
        <f>IFERROR((I28-'2_Raw_Data'!J28)*100,"n/a")</f>
        <v/>
      </c>
      <c r="K28" s="13">
        <f>C28/SUMIFS(C:C,A:A,A28,B:B,"TOTAL")</f>
        <v/>
      </c>
    </row>
    <row r="30">
      <c r="A30" s="9" t="inlineStr">
        <is>
          <t>Check columns show the gap (percentage points) between the calculated rate and the IPC's reported rate; gaps under 1 pp reflect IPC rounding.</t>
        </is>
      </c>
    </row>
  </sheetData>
  <autoFilter ref="A1:K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Ministry of the Environment, Conservation and Parks: FOI performance 2023–2025</t>
        </is>
      </c>
    </row>
    <row r="3">
      <c r="A3" s="5" t="inlineStr">
        <is>
          <t>Metric</t>
        </is>
      </c>
      <c r="B3" s="5" t="inlineStr">
        <is>
          <t>2023</t>
        </is>
      </c>
      <c r="C3" s="5" t="inlineStr">
        <is>
          <t>2024</t>
        </is>
      </c>
      <c r="D3" s="5" t="inlineStr">
        <is>
          <t>2025</t>
        </is>
      </c>
      <c r="E3" s="5" t="inlineStr">
        <is>
          <t>Change 2023→2025</t>
        </is>
      </c>
    </row>
    <row r="4">
      <c r="A4" s="4" t="inlineStr">
        <is>
          <t>Requests received</t>
        </is>
      </c>
      <c r="B4" s="10">
        <f>'2_Raw_Data'!D2</f>
        <v/>
      </c>
      <c r="C4" s="10">
        <f>'2_Raw_Data'!D11</f>
        <v/>
      </c>
      <c r="D4" s="10">
        <f>'2_Raw_Data'!D20</f>
        <v/>
      </c>
      <c r="E4" s="15">
        <f>D4-B4</f>
        <v/>
      </c>
    </row>
    <row r="5">
      <c r="A5" s="4" t="inlineStr">
        <is>
          <t>Requests completed</t>
        </is>
      </c>
      <c r="B5" s="10">
        <f>'2_Raw_Data'!E2</f>
        <v/>
      </c>
      <c r="C5" s="10">
        <f>'2_Raw_Data'!E11</f>
        <v/>
      </c>
      <c r="D5" s="10">
        <f>'2_Raw_Data'!E20</f>
        <v/>
      </c>
      <c r="E5" s="15">
        <f>D5-B5</f>
        <v/>
      </c>
    </row>
    <row r="6">
      <c r="A6" s="4" t="inlineStr">
        <is>
          <t>% completed within 30 days</t>
        </is>
      </c>
      <c r="B6" s="16">
        <f>'2_Raw_Data'!G2</f>
        <v/>
      </c>
      <c r="C6" s="16">
        <f>'2_Raw_Data'!G11</f>
        <v/>
      </c>
      <c r="D6" s="16">
        <f>'2_Raw_Data'!G20</f>
        <v/>
      </c>
      <c r="E6" s="17">
        <f>(D6-B6)*100</f>
        <v/>
      </c>
    </row>
    <row r="7">
      <c r="A7" s="4" t="inlineStr">
        <is>
          <t>Extended compliance %</t>
        </is>
      </c>
      <c r="B7" s="16">
        <f>'2_Raw_Data'!H2</f>
        <v/>
      </c>
      <c r="C7" s="16">
        <f>'2_Raw_Data'!H11</f>
        <v/>
      </c>
      <c r="D7" s="16">
        <f>'2_Raw_Data'!H20</f>
        <v/>
      </c>
      <c r="E7" s="17">
        <f>(D7-B7)*100</f>
        <v/>
      </c>
    </row>
    <row r="8">
      <c r="A8" s="4" t="inlineStr">
        <is>
          <t>Completed requests over 90 days</t>
        </is>
      </c>
      <c r="B8" s="10">
        <f>'2_Raw_Data'!I2</f>
        <v/>
      </c>
      <c r="C8" s="10">
        <f>'2_Raw_Data'!I11</f>
        <v/>
      </c>
      <c r="D8" s="10">
        <f>'2_Raw_Data'!I20</f>
        <v/>
      </c>
      <c r="E8" s="15">
        <f>D8-B8</f>
        <v/>
      </c>
    </row>
    <row r="9">
      <c r="A9" s="4" t="inlineStr">
        <is>
          <t>% over 90 days</t>
        </is>
      </c>
      <c r="B9" s="16">
        <f>'2_Raw_Data'!J2</f>
        <v/>
      </c>
      <c r="C9" s="16">
        <f>'2_Raw_Data'!J11</f>
        <v/>
      </c>
      <c r="D9" s="16">
        <f>'2_Raw_Data'!J20</f>
        <v/>
      </c>
      <c r="E9" s="17">
        <f>(D9-B9)*100</f>
        <v/>
      </c>
    </row>
    <row r="10">
      <c r="A10" s="4" t="inlineStr">
        <is>
          <t>Share of all provincial FOI requests</t>
        </is>
      </c>
      <c r="B10" s="13">
        <f>'2_Raw_Data'!D2/'2_Raw_Data'!D10</f>
        <v/>
      </c>
      <c r="C10" s="13">
        <f>'2_Raw_Data'!D11/'2_Raw_Data'!D19</f>
        <v/>
      </c>
      <c r="D10" s="13">
        <f>'2_Raw_Data'!D20/'2_Raw_Data'!D28</f>
        <v/>
      </c>
      <c r="E10" s="18">
        <f>(D10-B10)*100</f>
        <v/>
      </c>
    </row>
    <row r="12" ht="42" customHeight="1">
      <c r="A12" s="19" t="inlineStr">
        <is>
          <t>Reading: MECP completed 12,620 requests in 2023 against 7,532 received, clearing a backlog; its over-90-day share then fell from 47.2% to 11–12%. Volume keeps rising, and 30-day performance slipped from 76.5% (2024) to 74.0% (2025).</t>
        </is>
      </c>
    </row>
  </sheetData>
  <mergeCells count="1"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Chart data</t>
        </is>
      </c>
    </row>
    <row r="3">
      <c r="A3" s="5" t="inlineStr">
        <is>
          <t>Ministry (2025)</t>
        </is>
      </c>
      <c r="B3" s="5" t="inlineStr">
        <is>
          <t>Requests received</t>
        </is>
      </c>
      <c r="C3" s="5" t="inlineStr">
        <is>
          <t>% within 30 days</t>
        </is>
      </c>
    </row>
    <row r="4">
      <c r="A4" s="4" t="inlineStr">
        <is>
          <t>SOLGEN</t>
        </is>
      </c>
      <c r="B4" s="20">
        <f>'2_Raw_Data'!D21</f>
        <v/>
      </c>
      <c r="C4" s="21">
        <f>'2_Raw_Data'!G21</f>
        <v/>
      </c>
    </row>
    <row r="5">
      <c r="A5" s="4" t="inlineStr">
        <is>
          <t>MECP</t>
        </is>
      </c>
      <c r="B5" s="20">
        <f>'2_Raw_Data'!D20</f>
        <v/>
      </c>
      <c r="C5" s="21">
        <f>'2_Raw_Data'!G20</f>
        <v/>
      </c>
    </row>
    <row r="6">
      <c r="A6" s="4" t="inlineStr">
        <is>
          <t>MCCSS</t>
        </is>
      </c>
      <c r="B6" s="20">
        <f>'2_Raw_Data'!D22</f>
        <v/>
      </c>
      <c r="C6" s="21">
        <f>'2_Raw_Data'!G22</f>
        <v/>
      </c>
    </row>
    <row r="7">
      <c r="A7" s="4" t="inlineStr">
        <is>
          <t>MLITSD</t>
        </is>
      </c>
      <c r="B7" s="20">
        <f>'2_Raw_Data'!D23</f>
        <v/>
      </c>
      <c r="C7" s="21">
        <f>'2_Raw_Data'!G23</f>
        <v/>
      </c>
    </row>
    <row r="8">
      <c r="A8" s="4" t="inlineStr">
        <is>
          <t>MTO</t>
        </is>
      </c>
      <c r="B8" s="20">
        <f>'2_Raw_Data'!D24</f>
        <v/>
      </c>
      <c r="C8" s="21">
        <f>'2_Raw_Data'!G24</f>
        <v/>
      </c>
    </row>
    <row r="9">
      <c r="A9" s="4" t="inlineStr">
        <is>
          <t>MPBSD</t>
        </is>
      </c>
      <c r="B9" s="20">
        <f>'2_Raw_Data'!D25</f>
        <v/>
      </c>
      <c r="C9" s="21">
        <f>'2_Raw_Data'!G25</f>
        <v/>
      </c>
    </row>
    <row r="10">
      <c r="A10" s="4" t="inlineStr">
        <is>
          <t>MAG</t>
        </is>
      </c>
      <c r="B10" s="20">
        <f>'2_Raw_Data'!D26</f>
        <v/>
      </c>
      <c r="C10" s="21">
        <f>'2_Raw_Data'!G26</f>
        <v/>
      </c>
    </row>
    <row r="11">
      <c r="A11" s="4" t="inlineStr">
        <is>
          <t>MMAH</t>
        </is>
      </c>
      <c r="B11" s="20">
        <f>'2_Raw_Data'!D27</f>
        <v/>
      </c>
      <c r="C11" s="21">
        <f>'2_Raw_Data'!G27</f>
        <v/>
      </c>
    </row>
    <row r="14">
      <c r="A14" s="5" t="inlineStr">
        <is>
          <t>MECP</t>
        </is>
      </c>
      <c r="B14" s="5" t="inlineStr">
        <is>
          <t>% within 30 days</t>
        </is>
      </c>
      <c r="C14" s="5" t="inlineStr">
        <is>
          <t>% over 90 days</t>
        </is>
      </c>
    </row>
    <row r="15">
      <c r="A15" s="4" t="inlineStr">
        <is>
          <t>2023</t>
        </is>
      </c>
      <c r="B15" s="21">
        <f>'2_Raw_Data'!G2</f>
        <v/>
      </c>
      <c r="C15" s="21">
        <f>'2_Raw_Data'!J2</f>
        <v/>
      </c>
    </row>
    <row r="16">
      <c r="A16" s="4" t="inlineStr">
        <is>
          <t>2024</t>
        </is>
      </c>
      <c r="B16" s="21">
        <f>'2_Raw_Data'!G11</f>
        <v/>
      </c>
      <c r="C16" s="21">
        <f>'2_Raw_Data'!J11</f>
        <v/>
      </c>
    </row>
    <row r="17">
      <c r="A17" s="4" t="inlineStr">
        <is>
          <t>2025</t>
        </is>
      </c>
      <c r="B17" s="21">
        <f>'2_Raw_Data'!G20</f>
        <v/>
      </c>
      <c r="C17" s="21">
        <f>'2_Raw_Data'!J20</f>
        <v/>
      </c>
    </row>
  </sheetData>
  <autoFilter ref="A3:C11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50" customWidth="1" min="4" max="4"/>
    <col width="24" customWidth="1" min="5" max="5"/>
    <col width="12" customWidth="1" min="6" max="6"/>
    <col width="16" customWidth="1" min="7" max="7"/>
  </cols>
  <sheetData>
    <row r="1">
      <c r="A1" s="1" t="inlineStr">
        <is>
          <t>Illustrative file classification plan — hypothetical Environmental Approvals &amp; Compliance Branch</t>
        </is>
      </c>
    </row>
    <row r="3">
      <c r="A3" s="5" t="inlineStr">
        <is>
          <t>Code</t>
        </is>
      </c>
      <c r="B3" s="5" t="inlineStr">
        <is>
          <t>Primary class (function)</t>
        </is>
      </c>
      <c r="C3" s="5" t="inlineStr">
        <is>
          <t>Secondary class</t>
        </is>
      </c>
      <c r="D3" s="5" t="inlineStr">
        <is>
          <t>Example records</t>
        </is>
      </c>
      <c r="E3" s="5" t="inlineStr">
        <is>
          <t>Office of primary responsibility</t>
        </is>
      </c>
      <c r="F3" s="5" t="inlineStr">
        <is>
          <t>Vital record?</t>
        </is>
      </c>
      <c r="G3" s="5" t="inlineStr">
        <is>
          <t>Contains personal information?</t>
        </is>
      </c>
    </row>
    <row r="4">
      <c r="A4" s="22" t="inlineStr">
        <is>
          <t>ADM-01</t>
        </is>
      </c>
      <c r="B4" s="22" t="inlineStr">
        <is>
          <t>Administration</t>
        </is>
      </c>
      <c r="C4" s="22" t="inlineStr">
        <is>
          <t>Policies and procedures</t>
        </is>
      </c>
      <c r="D4" s="22" t="inlineStr">
        <is>
          <t>Branch procedures manual; RIM procedures; desk instructions</t>
        </is>
      </c>
      <c r="E4" s="22" t="inlineStr">
        <is>
          <t>RIM Coordinator</t>
        </is>
      </c>
      <c r="F4" s="22" t="inlineStr">
        <is>
          <t>Yes</t>
        </is>
      </c>
      <c r="G4" s="22" t="inlineStr">
        <is>
          <t>No</t>
        </is>
      </c>
    </row>
    <row r="5">
      <c r="A5" s="22" t="inlineStr">
        <is>
          <t>ADM-02</t>
        </is>
      </c>
      <c r="B5" s="22" t="inlineStr">
        <is>
          <t>Administration</t>
        </is>
      </c>
      <c r="C5" s="22" t="inlineStr">
        <is>
          <t>Meetings and committees</t>
        </is>
      </c>
      <c r="D5" s="22" t="inlineStr">
        <is>
          <t>Agendas, minutes, action logs</t>
        </is>
      </c>
      <c r="E5" s="22" t="inlineStr">
        <is>
          <t>Branch Director's office</t>
        </is>
      </c>
      <c r="F5" s="22" t="inlineStr">
        <is>
          <t>No</t>
        </is>
      </c>
      <c r="G5" s="22" t="inlineStr">
        <is>
          <t>No</t>
        </is>
      </c>
    </row>
    <row r="6">
      <c r="A6" s="22" t="inlineStr">
        <is>
          <t>ADM-03</t>
        </is>
      </c>
      <c r="B6" s="22" t="inlineStr">
        <is>
          <t>Administration</t>
        </is>
      </c>
      <c r="C6" s="22" t="inlineStr">
        <is>
          <t>Staff training</t>
        </is>
      </c>
      <c r="D6" s="22" t="inlineStr">
        <is>
          <t>Training plans, attendance records, training materials</t>
        </is>
      </c>
      <c r="E6" s="22" t="inlineStr">
        <is>
          <t>RIM Coordinator</t>
        </is>
      </c>
      <c r="F6" s="22" t="inlineStr">
        <is>
          <t>No</t>
        </is>
      </c>
      <c r="G6" s="22" t="inlineStr">
        <is>
          <t>Yes</t>
        </is>
      </c>
    </row>
    <row r="7">
      <c r="A7" s="22" t="inlineStr">
        <is>
          <t>FIN-01</t>
        </is>
      </c>
      <c r="B7" s="22" t="inlineStr">
        <is>
          <t>Finance and procurement</t>
        </is>
      </c>
      <c r="C7" s="22" t="inlineStr">
        <is>
          <t>Budget estimates</t>
        </is>
      </c>
      <c r="D7" s="22" t="inlineStr">
        <is>
          <t>Annual estimates, variance reports</t>
        </is>
      </c>
      <c r="E7" s="22" t="inlineStr">
        <is>
          <t>Branch Supervisor</t>
        </is>
      </c>
      <c r="F7" s="22" t="inlineStr">
        <is>
          <t>No</t>
        </is>
      </c>
      <c r="G7" s="22" t="inlineStr">
        <is>
          <t>No</t>
        </is>
      </c>
    </row>
    <row r="8">
      <c r="A8" s="22" t="inlineStr">
        <is>
          <t>FIN-02</t>
        </is>
      </c>
      <c r="B8" s="22" t="inlineStr">
        <is>
          <t>Finance and procurement</t>
        </is>
      </c>
      <c r="C8" s="22" t="inlineStr">
        <is>
          <t>Purchasing</t>
        </is>
      </c>
      <c r="D8" s="22" t="inlineStr">
        <is>
          <t>Purchase requisitions, vendor quotes, invoices</t>
        </is>
      </c>
      <c r="E8" s="22" t="inlineStr">
        <is>
          <t>Branch Supervisor</t>
        </is>
      </c>
      <c r="F8" s="22" t="inlineStr">
        <is>
          <t>No</t>
        </is>
      </c>
      <c r="G8" s="22" t="inlineStr">
        <is>
          <t>No</t>
        </is>
      </c>
    </row>
    <row r="9">
      <c r="A9" s="22" t="inlineStr">
        <is>
          <t>APP-01</t>
        </is>
      </c>
      <c r="B9" s="22" t="inlineStr">
        <is>
          <t>Approvals and permits</t>
        </is>
      </c>
      <c r="C9" s="22" t="inlineStr">
        <is>
          <t>Applications</t>
        </is>
      </c>
      <c r="D9" s="22" t="inlineStr">
        <is>
          <t>Applications, supporting technical studies</t>
        </is>
      </c>
      <c r="E9" s="22" t="inlineStr">
        <is>
          <t>Approvals Section</t>
        </is>
      </c>
      <c r="F9" s="22" t="inlineStr">
        <is>
          <t>Yes</t>
        </is>
      </c>
      <c r="G9" s="22" t="inlineStr">
        <is>
          <t>Yes</t>
        </is>
      </c>
    </row>
    <row r="10">
      <c r="A10" s="22" t="inlineStr">
        <is>
          <t>APP-02</t>
        </is>
      </c>
      <c r="B10" s="22" t="inlineStr">
        <is>
          <t>Approvals and permits</t>
        </is>
      </c>
      <c r="C10" s="22" t="inlineStr">
        <is>
          <t>Technical reviews</t>
        </is>
      </c>
      <c r="D10" s="22" t="inlineStr">
        <is>
          <t>Review memos, consultant reports, correspondence</t>
        </is>
      </c>
      <c r="E10" s="22" t="inlineStr">
        <is>
          <t>Approvals Section</t>
        </is>
      </c>
      <c r="F10" s="22" t="inlineStr">
        <is>
          <t>No</t>
        </is>
      </c>
      <c r="G10" s="22" t="inlineStr">
        <is>
          <t>Yes</t>
        </is>
      </c>
    </row>
    <row r="11">
      <c r="A11" s="22" t="inlineStr">
        <is>
          <t>APP-03</t>
        </is>
      </c>
      <c r="B11" s="22" t="inlineStr">
        <is>
          <t>Approvals and permits</t>
        </is>
      </c>
      <c r="C11" s="22" t="inlineStr">
        <is>
          <t>Issued approvals</t>
        </is>
      </c>
      <c r="D11" s="22" t="inlineStr">
        <is>
          <t>Approvals, amendments, conditions</t>
        </is>
      </c>
      <c r="E11" s="22" t="inlineStr">
        <is>
          <t>Approvals Section</t>
        </is>
      </c>
      <c r="F11" s="22" t="inlineStr">
        <is>
          <t>Yes</t>
        </is>
      </c>
      <c r="G11" s="22" t="inlineStr">
        <is>
          <t>No</t>
        </is>
      </c>
    </row>
    <row r="12">
      <c r="A12" s="22" t="inlineStr">
        <is>
          <t>CMP-01</t>
        </is>
      </c>
      <c r="B12" s="22" t="inlineStr">
        <is>
          <t>Compliance and inspections</t>
        </is>
      </c>
      <c r="C12" s="22" t="inlineStr">
        <is>
          <t>Inspections</t>
        </is>
      </c>
      <c r="D12" s="22" t="inlineStr">
        <is>
          <t>Inspection reports, field notes, photographs</t>
        </is>
      </c>
      <c r="E12" s="22" t="inlineStr">
        <is>
          <t>Compliance Section</t>
        </is>
      </c>
      <c r="F12" s="22" t="inlineStr">
        <is>
          <t>Yes</t>
        </is>
      </c>
      <c r="G12" s="22" t="inlineStr">
        <is>
          <t>Yes</t>
        </is>
      </c>
    </row>
    <row r="13">
      <c r="A13" s="22" t="inlineStr">
        <is>
          <t>CMP-02</t>
        </is>
      </c>
      <c r="B13" s="22" t="inlineStr">
        <is>
          <t>Compliance and inspections</t>
        </is>
      </c>
      <c r="C13" s="22" t="inlineStr">
        <is>
          <t>Incidents and enforcement</t>
        </is>
      </c>
      <c r="D13" s="22" t="inlineStr">
        <is>
          <t>Incident reports, orders, enforcement files</t>
        </is>
      </c>
      <c r="E13" s="22" t="inlineStr">
        <is>
          <t>Compliance Section</t>
        </is>
      </c>
      <c r="F13" s="22" t="inlineStr">
        <is>
          <t>Yes</t>
        </is>
      </c>
      <c r="G13" s="22" t="inlineStr">
        <is>
          <t>Yes</t>
        </is>
      </c>
    </row>
    <row r="14">
      <c r="A14" s="22" t="inlineStr">
        <is>
          <t>INF-01</t>
        </is>
      </c>
      <c r="B14" s="22" t="inlineStr">
        <is>
          <t>Information requests</t>
        </is>
      </c>
      <c r="C14" s="22" t="inlineStr">
        <is>
          <t>FIPPA access requests</t>
        </is>
      </c>
      <c r="D14" s="22" t="inlineStr">
        <is>
          <t>Requests, search logs, decision letters, severed records</t>
        </is>
      </c>
      <c r="E14" s="22" t="inlineStr">
        <is>
          <t>RIM Coordinator</t>
        </is>
      </c>
      <c r="F14" s="22" t="inlineStr">
        <is>
          <t>No</t>
        </is>
      </c>
      <c r="G14" s="22" t="inlineStr">
        <is>
          <t>Yes</t>
        </is>
      </c>
    </row>
    <row r="15">
      <c r="A15" s="22" t="inlineStr">
        <is>
          <t>INF-02</t>
        </is>
      </c>
      <c r="B15" s="22" t="inlineStr">
        <is>
          <t>Information requests</t>
        </is>
      </c>
      <c r="C15" s="22" t="inlineStr">
        <is>
          <t>Routine disclosure</t>
        </is>
      </c>
      <c r="D15" s="22" t="inlineStr">
        <is>
          <t>Standard information packages for consultants and the public</t>
        </is>
      </c>
      <c r="E15" s="22" t="inlineStr">
        <is>
          <t>RIM Coordinator</t>
        </is>
      </c>
      <c r="F15" s="22" t="inlineStr">
        <is>
          <t>No</t>
        </is>
      </c>
      <c r="G15" s="22" t="inlineStr">
        <is>
          <t>No</t>
        </is>
      </c>
    </row>
    <row r="16">
      <c r="A16" s="22" t="inlineStr">
        <is>
          <t>STK-01</t>
        </is>
      </c>
      <c r="B16" s="22" t="inlineStr">
        <is>
          <t>Stakeholder relations</t>
        </is>
      </c>
      <c r="C16" s="22" t="inlineStr">
        <is>
          <t>Municipal liaison</t>
        </is>
      </c>
      <c r="D16" s="22" t="inlineStr">
        <is>
          <t>Correspondence with municipalities</t>
        </is>
      </c>
      <c r="E16" s="22" t="inlineStr">
        <is>
          <t>Branch Director's office</t>
        </is>
      </c>
      <c r="F16" s="22" t="inlineStr">
        <is>
          <t>No</t>
        </is>
      </c>
      <c r="G16" s="22" t="inlineStr">
        <is>
          <t>No</t>
        </is>
      </c>
    </row>
    <row r="17">
      <c r="A17" s="22" t="inlineStr">
        <is>
          <t>STK-02</t>
        </is>
      </c>
      <c r="B17" s="22" t="inlineStr">
        <is>
          <t>Stakeholder relations</t>
        </is>
      </c>
      <c r="C17" s="22" t="inlineStr">
        <is>
          <t>Public and consultant inquiries</t>
        </is>
      </c>
      <c r="D17" s="22" t="inlineStr">
        <is>
          <t>Inquiry log, responses</t>
        </is>
      </c>
      <c r="E17" s="22" t="inlineStr">
        <is>
          <t>Client Services</t>
        </is>
      </c>
      <c r="F17" s="22" t="inlineStr">
        <is>
          <t>No</t>
        </is>
      </c>
      <c r="G17" s="22" t="inlineStr">
        <is>
          <t>Yes</t>
        </is>
      </c>
    </row>
    <row r="19">
      <c r="A19" s="9" t="inlineStr">
        <is>
          <t>Function-based design: classes follow what the branch does, not who holds the file, so records stay findable when staff or structures change.</t>
        </is>
      </c>
    </row>
  </sheetData>
  <autoFilter ref="A3:G17"/>
  <dataValidations count="1">
    <dataValidation sqref="F4:G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22" customWidth="1" min="4" max="4"/>
    <col width="22" customWidth="1" min="5" max="5"/>
    <col width="44" customWidth="1" min="6" max="6"/>
    <col width="34" customWidth="1" min="7" max="7"/>
  </cols>
  <sheetData>
    <row r="1">
      <c r="A1" s="1" t="inlineStr">
        <is>
          <t>Illustrative retention crosswalk — confirm every line against the applicable approved records schedule</t>
        </is>
      </c>
    </row>
    <row r="3">
      <c r="A3" s="5" t="inlineStr">
        <is>
          <t>Code</t>
        </is>
      </c>
      <c r="B3" s="5" t="inlineStr">
        <is>
          <t>Record series</t>
        </is>
      </c>
      <c r="C3" s="5" t="inlineStr">
        <is>
          <t>Retention trigger</t>
        </is>
      </c>
      <c r="D3" s="5" t="inlineStr">
        <is>
          <t>Illustrative active + inactive period</t>
        </is>
      </c>
      <c r="E3" s="5" t="inlineStr">
        <is>
          <t>Final disposition</t>
        </is>
      </c>
      <c r="F3" s="5" t="inlineStr">
        <is>
          <t>Likely FIPPA considerations</t>
        </is>
      </c>
      <c r="G3" s="5" t="inlineStr">
        <is>
          <t>Authority (to confirm)</t>
        </is>
      </c>
    </row>
    <row r="4">
      <c r="A4" s="22" t="inlineStr">
        <is>
          <t>ADM-01</t>
        </is>
      </c>
      <c r="B4" s="22" t="inlineStr">
        <is>
          <t>Policies and procedures</t>
        </is>
      </c>
      <c r="C4" s="22" t="inlineStr">
        <is>
          <t>Superseded</t>
        </is>
      </c>
      <c r="D4" s="22" t="inlineStr">
        <is>
          <t>Superseded + 2 yrs</t>
        </is>
      </c>
      <c r="E4" s="22" t="inlineStr">
        <is>
          <t>Review for archival value</t>
        </is>
      </c>
      <c r="F4" s="22" t="inlineStr">
        <is>
          <t>Generally releasable</t>
        </is>
      </c>
      <c r="G4" s="22" t="inlineStr">
        <is>
          <t>OPS common / ministry records schedule</t>
        </is>
      </c>
    </row>
    <row r="5">
      <c r="A5" s="22" t="inlineStr">
        <is>
          <t>ADM-03</t>
        </is>
      </c>
      <c r="B5" s="22" t="inlineStr">
        <is>
          <t>Staff training records</t>
        </is>
      </c>
      <c r="C5" s="22" t="inlineStr">
        <is>
          <t>Employee departure</t>
        </is>
      </c>
      <c r="D5" s="22" t="inlineStr">
        <is>
          <t>Departure + 2 yrs</t>
        </is>
      </c>
      <c r="E5" s="22" t="inlineStr">
        <is>
          <t>Destroy</t>
        </is>
      </c>
      <c r="F5" s="22" t="inlineStr">
        <is>
          <t>s.21 personal privacy</t>
        </is>
      </c>
      <c r="G5" s="22" t="inlineStr">
        <is>
          <t>OPS common records schedule</t>
        </is>
      </c>
    </row>
    <row r="6">
      <c r="A6" s="22" t="inlineStr">
        <is>
          <t>FIN-01</t>
        </is>
      </c>
      <c r="B6" s="22" t="inlineStr">
        <is>
          <t>Budget estimates</t>
        </is>
      </c>
      <c r="C6" s="22" t="inlineStr">
        <is>
          <t>End of fiscal year</t>
        </is>
      </c>
      <c r="D6" s="22" t="inlineStr">
        <is>
          <t>FY + 7 yrs</t>
        </is>
      </c>
      <c r="E6" s="22" t="inlineStr">
        <is>
          <t>Destroy</t>
        </is>
      </c>
      <c r="F6" s="22" t="inlineStr">
        <is>
          <t>s.18 economic interests (case by case)</t>
        </is>
      </c>
      <c r="G6" s="22" t="inlineStr">
        <is>
          <t>OPS common records schedule</t>
        </is>
      </c>
    </row>
    <row r="7">
      <c r="A7" s="22" t="inlineStr">
        <is>
          <t>APP-03</t>
        </is>
      </c>
      <c r="B7" s="22" t="inlineStr">
        <is>
          <t>Issued approvals</t>
        </is>
      </c>
      <c r="C7" s="22" t="inlineStr">
        <is>
          <t>Approval revoked or expired</t>
        </is>
      </c>
      <c r="D7" s="22" t="inlineStr">
        <is>
          <t>Expiry + 20 yrs</t>
        </is>
      </c>
      <c r="E7" s="22" t="inlineStr">
        <is>
          <t>Transfer to Archives of Ontario (if designated)</t>
        </is>
      </c>
      <c r="F7" s="22" t="inlineStr">
        <is>
          <t>s.17 third-party information in supporting studies</t>
        </is>
      </c>
      <c r="G7" s="22" t="inlineStr">
        <is>
          <t>Ministry records schedule</t>
        </is>
      </c>
    </row>
    <row r="8">
      <c r="A8" s="22" t="inlineStr">
        <is>
          <t>CMP-02</t>
        </is>
      </c>
      <c r="B8" s="22" t="inlineStr">
        <is>
          <t>Incidents and enforcement</t>
        </is>
      </c>
      <c r="C8" s="22" t="inlineStr">
        <is>
          <t>File closed</t>
        </is>
      </c>
      <c r="D8" s="22" t="inlineStr">
        <is>
          <t>Closure + 15 yrs</t>
        </is>
      </c>
      <c r="E8" s="22" t="inlineStr">
        <is>
          <t>Review for archival value</t>
        </is>
      </c>
      <c r="F8" s="22" t="inlineStr">
        <is>
          <t>s.14 law enforcement; s.21 personal privacy</t>
        </is>
      </c>
      <c r="G8" s="22" t="inlineStr">
        <is>
          <t>Ministry records schedule</t>
        </is>
      </c>
    </row>
    <row r="9">
      <c r="A9" s="22" t="inlineStr">
        <is>
          <t>INF-01</t>
        </is>
      </c>
      <c r="B9" s="22" t="inlineStr">
        <is>
          <t>FIPPA access requests</t>
        </is>
      </c>
      <c r="C9" s="22" t="inlineStr">
        <is>
          <t>Request closed / appeal concluded</t>
        </is>
      </c>
      <c r="D9" s="22" t="inlineStr">
        <is>
          <t>Closure + 2 yrs</t>
        </is>
      </c>
      <c r="E9" s="22" t="inlineStr">
        <is>
          <t>Destroy</t>
        </is>
      </c>
      <c r="F9" s="22" t="inlineStr">
        <is>
          <t>Contains requester personal information (s.21)</t>
        </is>
      </c>
      <c r="G9" s="22" t="inlineStr">
        <is>
          <t>OPS common records schedule</t>
        </is>
      </c>
    </row>
    <row r="10">
      <c r="A10" s="22" t="inlineStr">
        <is>
          <t>STK-02</t>
        </is>
      </c>
      <c r="B10" s="22" t="inlineStr">
        <is>
          <t>Public and consultant inquiries</t>
        </is>
      </c>
      <c r="C10" s="22" t="inlineStr">
        <is>
          <t>Inquiry closed</t>
        </is>
      </c>
      <c r="D10" s="22" t="inlineStr">
        <is>
          <t>Closure + 2 yrs</t>
        </is>
      </c>
      <c r="E10" s="22" t="inlineStr">
        <is>
          <t>Destroy</t>
        </is>
      </c>
      <c r="F10" s="22" t="inlineStr">
        <is>
          <t>s.21 personal privacy</t>
        </is>
      </c>
      <c r="G10" s="22" t="inlineStr">
        <is>
          <t>OPS common records schedule</t>
        </is>
      </c>
    </row>
    <row r="12">
      <c r="A12" s="9" t="inlineStr">
        <is>
          <t>Periods are placeholders for design purposes only. Under the Archives and Recordkeeping Act, 2006, public records may be disposed of only in accordance with approved records schedules.</t>
        </is>
      </c>
    </row>
  </sheetData>
  <autoFilter ref="A3:G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46" customWidth="1" min="3" max="3"/>
    <col width="18" customWidth="1" min="4" max="4"/>
    <col width="24" customWidth="1" min="5" max="5"/>
  </cols>
  <sheetData>
    <row r="1">
      <c r="A1" s="1" t="inlineStr">
        <is>
          <t>FIPPA access request workflow (requests received on or after July 1, 2026)</t>
        </is>
      </c>
    </row>
    <row r="3">
      <c r="A3" s="5" t="inlineStr">
        <is>
          <t>Step</t>
        </is>
      </c>
      <c r="B3" s="5" t="inlineStr">
        <is>
          <t>Action</t>
        </is>
      </c>
      <c r="C3" s="5" t="inlineStr">
        <is>
          <t>Statutory reference / timeline</t>
        </is>
      </c>
      <c r="D3" s="5" t="inlineStr">
        <is>
          <t>Owner</t>
        </is>
      </c>
      <c r="E3" s="5" t="inlineStr">
        <is>
          <t>RIM tool used</t>
        </is>
      </c>
    </row>
    <row r="4">
      <c r="A4" s="22" t="n">
        <v>1</v>
      </c>
      <c r="B4" s="22" t="inlineStr">
        <is>
          <t>Receive and log the written request; confirm the application fee</t>
        </is>
      </c>
      <c r="C4" s="22" t="inlineStr">
        <is>
          <t>FIPPA s.24</t>
        </is>
      </c>
      <c r="D4" s="22" t="inlineStr">
        <is>
          <t>RIM Coordinator</t>
        </is>
      </c>
      <c r="E4" s="22" t="inlineStr">
        <is>
          <t>INF-01 request log</t>
        </is>
      </c>
    </row>
    <row r="5">
      <c r="A5" s="22" t="n">
        <v>2</v>
      </c>
      <c r="B5" s="22" t="inlineStr">
        <is>
          <t>Contact the requester to clarify scope where needed</t>
        </is>
      </c>
      <c r="C5" s="22" t="inlineStr">
        <is>
          <t>Duty to assist requesters (expanded July 1, 2026)</t>
        </is>
      </c>
      <c r="D5" s="22" t="inlineStr">
        <is>
          <t>RIM Coordinator</t>
        </is>
      </c>
      <c r="E5" s="22" t="inlineStr">
        <is>
          <t>Request log notes</t>
        </is>
      </c>
    </row>
    <row r="6">
      <c r="A6" s="22" t="n">
        <v>3</v>
      </c>
      <c r="B6" s="22" t="inlineStr">
        <is>
          <t>Search and retrieve responsive records across program areas</t>
        </is>
      </c>
      <c r="C6" s="22" t="inlineStr">
        <is>
          <t>Feeds the 45-business-day clock</t>
        </is>
      </c>
      <c r="D6" s="22" t="inlineStr">
        <is>
          <t>Program staff + RIM</t>
        </is>
      </c>
      <c r="E6" s="22" t="inlineStr">
        <is>
          <t>6_File_Plan codes</t>
        </is>
      </c>
    </row>
    <row r="7">
      <c r="A7" s="22" t="n">
        <v>4</v>
      </c>
      <c r="B7" s="22" t="inlineStr">
        <is>
          <t>Issue a fee estimate where fees exceed $25 and explain fee-waiver rights</t>
        </is>
      </c>
      <c r="C7" s="22" t="inlineStr">
        <is>
          <t>Clock pauses until fee is paid or waived</t>
        </is>
      </c>
      <c r="D7" s="22" t="inlineStr">
        <is>
          <t>RIM Coordinator</t>
        </is>
      </c>
      <c r="E7" s="22" t="inlineStr">
        <is>
          <t>Fee estimate template</t>
        </is>
      </c>
    </row>
    <row r="8">
      <c r="A8" s="22" t="n">
        <v>5</v>
      </c>
      <c r="B8" s="22" t="inlineStr">
        <is>
          <t>Decide on a time extension or a staged access plan for large requests</t>
        </is>
      </c>
      <c r="C8" s="22" t="inlineStr">
        <is>
          <t>s.27(1), s.27(1.1); staged access s.24.1–24.2</t>
        </is>
      </c>
      <c r="D8" s="22" t="inlineStr">
        <is>
          <t>RIM Coordinator + Supervisor</t>
        </is>
      </c>
      <c r="E8" s="22" t="inlineStr">
        <is>
          <t>Search log</t>
        </is>
      </c>
    </row>
    <row r="9">
      <c r="A9" s="22" t="n">
        <v>6</v>
      </c>
      <c r="B9" s="22" t="inlineStr">
        <is>
          <t>Notify affected third parties and send the requester a notice of delay</t>
        </is>
      </c>
      <c r="C9" s="22" t="inlineStr">
        <is>
          <t>s.28(1): 20 business days for representations; s.28(4) notice of delay</t>
        </is>
      </c>
      <c r="D9" s="22" t="inlineStr">
        <is>
          <t>RIM Coordinator</t>
        </is>
      </c>
      <c r="E9" s="22" t="inlineStr">
        <is>
          <t>Third-party notice template</t>
        </is>
      </c>
    </row>
    <row r="10">
      <c r="A10" s="22" t="n">
        <v>7</v>
      </c>
      <c r="B10" s="22" t="inlineStr">
        <is>
          <t>Review records, apply exemptions and sever</t>
        </is>
      </c>
      <c r="C10" s="22" t="inlineStr">
        <is>
          <t>e.g. s.17 third-party information, s.21 personal privacy</t>
        </is>
      </c>
      <c r="D10" s="22" t="inlineStr">
        <is>
          <t>RIM Coordinator + Legal</t>
        </is>
      </c>
      <c r="E10" s="22" t="inlineStr">
        <is>
          <t>7_Retention_Crosswalk FIPPA column</t>
        </is>
      </c>
    </row>
    <row r="11">
      <c r="A11" s="22" t="n">
        <v>8</v>
      </c>
      <c r="B11" s="22" t="inlineStr">
        <is>
          <t>Issue the decision letter with appeal rights</t>
        </is>
      </c>
      <c r="C11" s="22" t="inlineStr">
        <is>
          <t>Within 45 business days; requester may appeal to the IPC within 30 business days</t>
        </is>
      </c>
      <c r="D11" s="22" t="inlineStr">
        <is>
          <t>Delegated decision-maker</t>
        </is>
      </c>
      <c r="E11" s="22" t="inlineStr">
        <is>
          <t>Decision letter template</t>
        </is>
      </c>
    </row>
    <row r="12">
      <c r="A12" s="22" t="n">
        <v>9</v>
      </c>
      <c r="B12" s="22" t="inlineStr">
        <is>
          <t>Close the file, retain per schedule, record statistics for the IPC annual report</t>
        </is>
      </c>
      <c r="C12" s="22" t="inlineStr">
        <is>
          <t>Annual statistical reporting to the IPC</t>
        </is>
      </c>
      <c r="D12" s="22" t="inlineStr">
        <is>
          <t>RIM Coordinator</t>
        </is>
      </c>
      <c r="E12" s="22" t="inlineStr">
        <is>
          <t>INF-01; statistics tracker</t>
        </is>
      </c>
    </row>
    <row r="14">
      <c r="A14" s="9" t="inlineStr">
        <is>
          <t>Source: IPC, 'Updates on obligations for provincial and municipal institutions' and IPC bulletin 'Notice of Delay Versus Time Extension' (2026). Requests received before July 1, 2026 follow the previous 30-calendar-day rules.</t>
        </is>
      </c>
    </row>
  </sheetData>
  <autoFilter ref="A3:E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22" customWidth="1" min="3" max="3"/>
    <col width="22" customWidth="1" min="4" max="4"/>
    <col width="12" customWidth="1" min="5" max="5"/>
  </cols>
  <sheetData>
    <row r="1">
      <c r="A1" s="1" t="inlineStr">
        <is>
          <t>Branch RIM training checklist (illustrative)</t>
        </is>
      </c>
    </row>
    <row r="3">
      <c r="A3" s="5" t="inlineStr">
        <is>
          <t>No.</t>
        </is>
      </c>
      <c r="B3" s="5" t="inlineStr">
        <is>
          <t>Topic</t>
        </is>
      </c>
      <c r="C3" s="5" t="inlineStr">
        <is>
          <t>Audience</t>
        </is>
      </c>
      <c r="D3" s="5" t="inlineStr">
        <is>
          <t>Format</t>
        </is>
      </c>
      <c r="E3" s="5" t="inlineStr">
        <is>
          <t>Completed?</t>
        </is>
      </c>
    </row>
    <row r="4">
      <c r="A4" s="22" t="n">
        <v>1</v>
      </c>
      <c r="B4" s="22" t="inlineStr">
        <is>
          <t>Why recordkeeping matters: Archives and Recordkeeping Act, 2006 basics</t>
        </is>
      </c>
      <c r="C4" s="22" t="inlineStr">
        <is>
          <t>All staff</t>
        </is>
      </c>
      <c r="D4" s="22" t="inlineStr">
        <is>
          <t>20-min briefing</t>
        </is>
      </c>
      <c r="E4" s="22" t="inlineStr">
        <is>
          <t>No</t>
        </is>
      </c>
    </row>
    <row r="5">
      <c r="A5" s="22" t="n">
        <v>2</v>
      </c>
      <c r="B5" s="22" t="inlineStr">
        <is>
          <t>Using the branch file plan: naming, classifying and filing records</t>
        </is>
      </c>
      <c r="C5" s="22" t="inlineStr">
        <is>
          <t>All staff</t>
        </is>
      </c>
      <c r="D5" s="22" t="inlineStr">
        <is>
          <t>Hands-on demo</t>
        </is>
      </c>
      <c r="E5" s="22" t="inlineStr">
        <is>
          <t>No</t>
        </is>
      </c>
    </row>
    <row r="6">
      <c r="A6" s="22" t="n">
        <v>3</v>
      </c>
      <c r="B6" s="22" t="inlineStr">
        <is>
          <t>Transitory vs. official records: what can be deleted</t>
        </is>
      </c>
      <c r="C6" s="22" t="inlineStr">
        <is>
          <t>All staff</t>
        </is>
      </c>
      <c r="D6" s="22" t="inlineStr">
        <is>
          <t>Quick-reference sheet</t>
        </is>
      </c>
      <c r="E6" s="22" t="inlineStr">
        <is>
          <t>No</t>
        </is>
      </c>
    </row>
    <row r="7">
      <c r="A7" s="22" t="n">
        <v>4</v>
      </c>
      <c r="B7" s="22" t="inlineStr">
        <is>
          <t>FIPPA basics: what an access request means for your files</t>
        </is>
      </c>
      <c r="C7" s="22" t="inlineStr">
        <is>
          <t>All staff</t>
        </is>
      </c>
      <c r="D7" s="22" t="inlineStr">
        <is>
          <t>20-min briefing</t>
        </is>
      </c>
      <c r="E7" s="22" t="inlineStr">
        <is>
          <t>No</t>
        </is>
      </c>
    </row>
    <row r="8">
      <c r="A8" s="22" t="n">
        <v>5</v>
      </c>
      <c r="B8" s="22" t="inlineStr">
        <is>
          <t>Responding to a records search request within deadlines</t>
        </is>
      </c>
      <c r="C8" s="22" t="inlineStr">
        <is>
          <t>Program staff</t>
        </is>
      </c>
      <c r="D8" s="22" t="inlineStr">
        <is>
          <t>Walk-through</t>
        </is>
      </c>
      <c r="E8" s="22" t="inlineStr">
        <is>
          <t>No</t>
        </is>
      </c>
    </row>
    <row r="9">
      <c r="A9" s="22" t="n">
        <v>6</v>
      </c>
      <c r="B9" s="22" t="inlineStr">
        <is>
          <t>Handling personal information and reporting privacy breaches</t>
        </is>
      </c>
      <c r="C9" s="22" t="inlineStr">
        <is>
          <t>All staff</t>
        </is>
      </c>
      <c r="D9" s="22" t="inlineStr">
        <is>
          <t>Briefing + checklist</t>
        </is>
      </c>
      <c r="E9" s="22" t="inlineStr">
        <is>
          <t>No</t>
        </is>
      </c>
    </row>
    <row r="10">
      <c r="A10" s="22" t="n">
        <v>7</v>
      </c>
      <c r="B10" s="22" t="inlineStr">
        <is>
          <t>Retention and disposition: applying approved schedules</t>
        </is>
      </c>
      <c r="C10" s="22" t="inlineStr">
        <is>
          <t>Unit staff</t>
        </is>
      </c>
      <c r="D10" s="22" t="inlineStr">
        <is>
          <t>Workshop</t>
        </is>
      </c>
      <c r="E10" s="22" t="inlineStr">
        <is>
          <t>No</t>
        </is>
      </c>
    </row>
    <row r="11">
      <c r="A11" s="22" t="n">
        <v>8</v>
      </c>
      <c r="B11" s="22" t="inlineStr">
        <is>
          <t>Using the records management system for searches</t>
        </is>
      </c>
      <c r="C11" s="22" t="inlineStr">
        <is>
          <t>Unit staff</t>
        </is>
      </c>
      <c r="D11" s="22" t="inlineStr">
        <is>
          <t>Hands-on demo</t>
        </is>
      </c>
      <c r="E11" s="22" t="inlineStr">
        <is>
          <t>No</t>
        </is>
      </c>
    </row>
  </sheetData>
  <autoFilter ref="A3:E11"/>
  <dataValidations count="1">
    <dataValidation sqref="E4:E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5" customWidth="1" min="8" max="8"/>
    <col width="15" customWidth="1" min="9" max="9"/>
  </cols>
  <sheetData>
    <row r="1">
      <c r="A1" s="1" t="inlineStr">
        <is>
          <t>Context: requester source, outcomes and appeals (all provincial institutions)</t>
        </is>
      </c>
    </row>
    <row r="2">
      <c r="A2" s="9" t="inlineStr">
        <is>
          <t>Source: IPC Statistical Reports 2023–2025 (Access section; IPC Tribunal Statistics in the 2025 report). Blue = transcribed; black = formula.</t>
        </is>
      </c>
    </row>
    <row r="4">
      <c r="A4" s="23" t="inlineStr">
        <is>
          <t>A. Completed provincial requests by source</t>
        </is>
      </c>
    </row>
    <row r="5">
      <c r="A5" s="5" t="inlineStr">
        <is>
          <t>Source</t>
        </is>
      </c>
      <c r="B5" s="5" t="inlineStr">
        <is>
          <t>2023</t>
        </is>
      </c>
      <c r="C5" s="5" t="inlineStr">
        <is>
          <t>2024</t>
        </is>
      </c>
      <c r="D5" s="5" t="inlineStr">
        <is>
          <t>2025</t>
        </is>
      </c>
      <c r="E5" s="5" t="inlineStr">
        <is>
          <t>2023 %</t>
        </is>
      </c>
      <c r="F5" s="5" t="inlineStr">
        <is>
          <t>2024 %</t>
        </is>
      </c>
      <c r="G5" s="5" t="inlineStr">
        <is>
          <t>2025 %</t>
        </is>
      </c>
    </row>
    <row r="6">
      <c r="A6" s="4" t="inlineStr">
        <is>
          <t>Individual/public</t>
        </is>
      </c>
      <c r="B6" s="24" t="n">
        <v>7090</v>
      </c>
      <c r="C6" s="24" t="n">
        <v>7372</v>
      </c>
      <c r="D6" s="24" t="n">
        <v>8602</v>
      </c>
      <c r="E6" s="25">
        <f>B6/B$14</f>
        <v/>
      </c>
      <c r="F6" s="25">
        <f>C6/C$14</f>
        <v/>
      </c>
      <c r="G6" s="25">
        <f>D6/D$14</f>
        <v/>
      </c>
    </row>
    <row r="7">
      <c r="A7" s="4" t="inlineStr">
        <is>
          <t>Individual by agent</t>
        </is>
      </c>
      <c r="B7" s="24" t="n">
        <v>7237</v>
      </c>
      <c r="C7" s="24" t="n">
        <v>7236</v>
      </c>
      <c r="D7" s="24" t="n">
        <v>7533</v>
      </c>
      <c r="E7" s="25">
        <f>B7/B$14</f>
        <v/>
      </c>
      <c r="F7" s="25">
        <f>C7/C$14</f>
        <v/>
      </c>
      <c r="G7" s="25">
        <f>D7/D$14</f>
        <v/>
      </c>
    </row>
    <row r="8">
      <c r="A8" s="4" t="inlineStr">
        <is>
          <t>Business</t>
        </is>
      </c>
      <c r="B8" s="24" t="n">
        <v>14551</v>
      </c>
      <c r="C8" s="24" t="n">
        <v>10631</v>
      </c>
      <c r="D8" s="24" t="n">
        <v>10596</v>
      </c>
      <c r="E8" s="25">
        <f>B8/B$14</f>
        <v/>
      </c>
      <c r="F8" s="25">
        <f>C8/C$14</f>
        <v/>
      </c>
      <c r="G8" s="25">
        <f>D8/D$14</f>
        <v/>
      </c>
    </row>
    <row r="9">
      <c r="A9" s="4" t="inlineStr">
        <is>
          <t>Media</t>
        </is>
      </c>
      <c r="B9" s="24" t="n">
        <v>1145</v>
      </c>
      <c r="C9" s="24" t="n">
        <v>1092</v>
      </c>
      <c r="D9" s="24" t="n">
        <v>991</v>
      </c>
      <c r="E9" s="25">
        <f>B9/B$14</f>
        <v/>
      </c>
      <c r="F9" s="25">
        <f>C9/C$14</f>
        <v/>
      </c>
      <c r="G9" s="25">
        <f>D9/D$14</f>
        <v/>
      </c>
    </row>
    <row r="10">
      <c r="A10" s="4" t="inlineStr">
        <is>
          <t>Association/group</t>
        </is>
      </c>
      <c r="B10" s="24" t="n">
        <v>361</v>
      </c>
      <c r="C10" s="24" t="n">
        <v>423</v>
      </c>
      <c r="D10" s="24" t="n">
        <v>634</v>
      </c>
      <c r="E10" s="25">
        <f>B10/B$14</f>
        <v/>
      </c>
      <c r="F10" s="25">
        <f>C10/C$14</f>
        <v/>
      </c>
      <c r="G10" s="25">
        <f>D10/D$14</f>
        <v/>
      </c>
    </row>
    <row r="11">
      <c r="A11" s="4" t="inlineStr">
        <is>
          <t>Academic/researcher</t>
        </is>
      </c>
      <c r="B11" s="24" t="n">
        <v>260</v>
      </c>
      <c r="C11" s="24" t="n">
        <v>228</v>
      </c>
      <c r="D11" s="24" t="n">
        <v>212</v>
      </c>
      <c r="E11" s="25">
        <f>B11/B$14</f>
        <v/>
      </c>
      <c r="F11" s="25">
        <f>C11/C$14</f>
        <v/>
      </c>
      <c r="G11" s="25">
        <f>D11/D$14</f>
        <v/>
      </c>
    </row>
    <row r="12">
      <c r="A12" s="4" t="inlineStr">
        <is>
          <t>Government (all levels)</t>
        </is>
      </c>
      <c r="B12" s="24" t="n">
        <v>140</v>
      </c>
      <c r="C12" s="24" t="n">
        <v>149</v>
      </c>
      <c r="D12" s="24" t="n">
        <v>281</v>
      </c>
      <c r="E12" s="25">
        <f>B12/B$14</f>
        <v/>
      </c>
      <c r="F12" s="25">
        <f>C12/C$14</f>
        <v/>
      </c>
      <c r="G12" s="25">
        <f>D12/D$14</f>
        <v/>
      </c>
    </row>
    <row r="13">
      <c r="A13" s="4" t="inlineStr">
        <is>
          <t>Other</t>
        </is>
      </c>
      <c r="B13" s="24" t="n">
        <v>198</v>
      </c>
      <c r="C13" s="24" t="n">
        <v>213</v>
      </c>
      <c r="D13" s="24" t="n">
        <v>505</v>
      </c>
      <c r="E13" s="25">
        <f>B13/B$14</f>
        <v/>
      </c>
      <c r="F13" s="25">
        <f>C13/C$14</f>
        <v/>
      </c>
      <c r="G13" s="25">
        <f>D13/D$14</f>
        <v/>
      </c>
    </row>
    <row r="14">
      <c r="A14" s="4" t="inlineStr">
        <is>
          <t>Total</t>
        </is>
      </c>
      <c r="B14" s="26">
        <f>SUM(B6:B13)</f>
        <v/>
      </c>
      <c r="C14" s="26">
        <f>SUM(C6:C13)</f>
        <v/>
      </c>
      <c r="D14" s="26">
        <f>SUM(D6:D13)</f>
        <v/>
      </c>
      <c r="E14" s="25">
        <f>B14/B$14</f>
        <v/>
      </c>
      <c r="F14" s="25">
        <f>C14/C$14</f>
        <v/>
      </c>
      <c r="G14" s="25">
        <f>D14/D$14</f>
        <v/>
      </c>
    </row>
    <row r="15">
      <c r="A15" s="9" t="inlineStr">
        <is>
          <t>Check: total vs IPC printed total (should be 0)</t>
        </is>
      </c>
      <c r="B15" s="4">
        <f>B14-30982</f>
        <v/>
      </c>
      <c r="C15" s="4">
        <f>C14-27344</f>
        <v/>
      </c>
      <c r="D15" s="4">
        <f>D14-29354</f>
        <v/>
      </c>
    </row>
    <row r="17">
      <c r="A17" s="23" t="inlineStr">
        <is>
          <t>B. Outcome of provincial requests (a request can have more than one outcome)</t>
        </is>
      </c>
    </row>
    <row r="18">
      <c r="A18" s="5" t="inlineStr">
        <is>
          <t>Outcome</t>
        </is>
      </c>
      <c r="B18" s="5" t="inlineStr">
        <is>
          <t>2023</t>
        </is>
      </c>
      <c r="C18" s="5" t="inlineStr">
        <is>
          <t>2024</t>
        </is>
      </c>
      <c r="D18" s="5" t="inlineStr">
        <is>
          <t>2025</t>
        </is>
      </c>
      <c r="E18" s="5" t="inlineStr">
        <is>
          <t>2023 %</t>
        </is>
      </c>
      <c r="F18" s="5" t="inlineStr">
        <is>
          <t>2024 %</t>
        </is>
      </c>
      <c r="G18" s="5" t="inlineStr">
        <is>
          <t>2025 %</t>
        </is>
      </c>
      <c r="H18" s="5" t="inlineStr">
        <is>
          <t>Municipal 2025</t>
        </is>
      </c>
      <c r="I18" s="5" t="inlineStr">
        <is>
          <t>Municipal 2025 %</t>
        </is>
      </c>
    </row>
    <row r="19">
      <c r="A19" s="4" t="inlineStr">
        <is>
          <t>All information disclosed</t>
        </is>
      </c>
      <c r="B19" s="24" t="n">
        <v>7003</v>
      </c>
      <c r="C19" s="24" t="n">
        <v>6231</v>
      </c>
      <c r="D19" s="24" t="n">
        <v>7160</v>
      </c>
      <c r="E19" s="25">
        <f>B19/B$24</f>
        <v/>
      </c>
      <c r="F19" s="25">
        <f>C19/C$24</f>
        <v/>
      </c>
      <c r="G19" s="25">
        <f>D19/D$24</f>
        <v/>
      </c>
      <c r="H19" s="24" t="n">
        <v>13042</v>
      </c>
      <c r="I19" s="25">
        <f>H19/H$24</f>
        <v/>
      </c>
    </row>
    <row r="20">
      <c r="A20" s="4" t="inlineStr">
        <is>
          <t>Disclosed in part</t>
        </is>
      </c>
      <c r="B20" s="24" t="n">
        <v>12550</v>
      </c>
      <c r="C20" s="24" t="n">
        <v>9769</v>
      </c>
      <c r="D20" s="24" t="n">
        <v>9498</v>
      </c>
      <c r="E20" s="25">
        <f>B20/B$24</f>
        <v/>
      </c>
      <c r="F20" s="25">
        <f>C20/C$24</f>
        <v/>
      </c>
      <c r="G20" s="25">
        <f>D20/D$24</f>
        <v/>
      </c>
      <c r="H20" s="24" t="n">
        <v>22535</v>
      </c>
      <c r="I20" s="25">
        <f>H20/H$24</f>
        <v/>
      </c>
    </row>
    <row r="21">
      <c r="A21" s="4" t="inlineStr">
        <is>
          <t>No information disclosed</t>
        </is>
      </c>
      <c r="B21" s="24" t="n">
        <v>2688</v>
      </c>
      <c r="C21" s="24" t="n">
        <v>2663</v>
      </c>
      <c r="D21" s="24" t="n">
        <v>2767</v>
      </c>
      <c r="E21" s="25">
        <f>B21/B$24</f>
        <v/>
      </c>
      <c r="F21" s="25">
        <f>C21/C$24</f>
        <v/>
      </c>
      <c r="G21" s="25">
        <f>D21/D$24</f>
        <v/>
      </c>
      <c r="H21" s="24" t="n">
        <v>6388</v>
      </c>
      <c r="I21" s="25">
        <f>H21/H$24</f>
        <v/>
      </c>
    </row>
    <row r="22">
      <c r="A22" s="4" t="inlineStr">
        <is>
          <t>No responsive records exist</t>
        </is>
      </c>
      <c r="B22" s="24" t="n">
        <v>6390</v>
      </c>
      <c r="C22" s="24" t="n">
        <v>6278</v>
      </c>
      <c r="D22" s="24" t="n">
        <v>6623</v>
      </c>
      <c r="E22" s="25">
        <f>B22/B$24</f>
        <v/>
      </c>
      <c r="F22" s="25">
        <f>C22/C$24</f>
        <v/>
      </c>
      <c r="G22" s="25">
        <f>D22/D$24</f>
        <v/>
      </c>
      <c r="H22" s="24" t="n">
        <v>3891</v>
      </c>
      <c r="I22" s="25">
        <f>H22/H$24</f>
        <v/>
      </c>
    </row>
    <row r="23">
      <c r="A23" s="4" t="inlineStr">
        <is>
          <t>Withdrawn, abandoned or non-jurisdictional</t>
        </is>
      </c>
      <c r="B23" s="24" t="n">
        <v>2384</v>
      </c>
      <c r="C23" s="24" t="n">
        <v>2463</v>
      </c>
      <c r="D23" s="24" t="n">
        <v>3762</v>
      </c>
      <c r="E23" s="25">
        <f>B23/B$24</f>
        <v/>
      </c>
      <c r="F23" s="25">
        <f>C23/C$24</f>
        <v/>
      </c>
      <c r="G23" s="25">
        <f>D23/D$24</f>
        <v/>
      </c>
      <c r="H23" s="24" t="n">
        <v>3018</v>
      </c>
      <c r="I23" s="25">
        <f>H23/H$24</f>
        <v/>
      </c>
    </row>
    <row r="24">
      <c r="A24" s="4" t="inlineStr">
        <is>
          <t>Total</t>
        </is>
      </c>
      <c r="B24" s="26">
        <f>SUM(B19:B23)</f>
        <v/>
      </c>
      <c r="C24" s="26">
        <f>SUM(C19:C23)</f>
        <v/>
      </c>
      <c r="D24" s="26">
        <f>SUM(D19:D23)</f>
        <v/>
      </c>
      <c r="E24" s="25">
        <f>B24/B$24</f>
        <v/>
      </c>
      <c r="F24" s="25">
        <f>C24/C$24</f>
        <v/>
      </c>
      <c r="G24" s="25">
        <f>D24/D$24</f>
        <v/>
      </c>
      <c r="H24" s="26">
        <f>SUM(H19:H23)</f>
        <v/>
      </c>
      <c r="I24" s="25">
        <f>H24/H$24</f>
        <v/>
      </c>
    </row>
    <row r="26">
      <c r="A26" s="23" t="inlineStr">
        <is>
          <t>C. Provincial access appeals to the IPC</t>
        </is>
      </c>
    </row>
    <row r="27">
      <c r="A27" s="5" t="inlineStr">
        <is>
          <t>Year</t>
        </is>
      </c>
      <c r="B27" s="5" t="inlineStr">
        <is>
          <t>Opened</t>
        </is>
      </c>
      <c r="C27" s="5" t="inlineStr">
        <is>
          <t>Closed</t>
        </is>
      </c>
      <c r="D27" s="5" t="inlineStr">
        <is>
          <t>Opened − closed</t>
        </is>
      </c>
      <c r="E27" s="5" t="inlineStr">
        <is>
          <t>Change in opened</t>
        </is>
      </c>
    </row>
    <row r="28">
      <c r="A28" s="4" t="n">
        <v>2021</v>
      </c>
      <c r="B28" s="24" t="n">
        <v>615</v>
      </c>
      <c r="C28" s="24" t="n">
        <v>579</v>
      </c>
      <c r="D28" s="4">
        <f>B28-C28</f>
        <v/>
      </c>
    </row>
    <row r="29">
      <c r="A29" s="4" t="n">
        <v>2022</v>
      </c>
      <c r="B29" s="24" t="n">
        <v>561</v>
      </c>
      <c r="C29" s="24" t="n">
        <v>575</v>
      </c>
      <c r="D29" s="4">
        <f>B29-C29</f>
        <v/>
      </c>
      <c r="E29" s="27">
        <f>B29/B28-1</f>
        <v/>
      </c>
    </row>
    <row r="30">
      <c r="A30" s="4" t="n">
        <v>2023</v>
      </c>
      <c r="B30" s="24" t="n">
        <v>698</v>
      </c>
      <c r="C30" s="24" t="n">
        <v>628</v>
      </c>
      <c r="D30" s="4">
        <f>B30-C30</f>
        <v/>
      </c>
      <c r="E30" s="27">
        <f>B30/B29-1</f>
        <v/>
      </c>
    </row>
    <row r="31">
      <c r="A31" s="4" t="n">
        <v>2024</v>
      </c>
      <c r="B31" s="24" t="n">
        <v>748</v>
      </c>
      <c r="C31" s="24" t="n">
        <v>609</v>
      </c>
      <c r="D31" s="4">
        <f>B31-C31</f>
        <v/>
      </c>
      <c r="E31" s="27">
        <f>B31/B30-1</f>
        <v/>
      </c>
    </row>
    <row r="32">
      <c r="A32" s="4" t="n">
        <v>2025</v>
      </c>
      <c r="B32" s="24" t="n">
        <v>1029</v>
      </c>
      <c r="C32" s="24" t="n">
        <v>894</v>
      </c>
      <c r="D32" s="4">
        <f>B32-C32</f>
        <v/>
      </c>
      <c r="E32" s="27">
        <f>B32/B31-1</f>
        <v/>
      </c>
    </row>
    <row r="34">
      <c r="A34" s="23" t="inlineStr">
        <is>
          <t>D. Issues in access appeals opened in 2025 (provincial + municipal)</t>
        </is>
      </c>
    </row>
    <row r="35">
      <c r="A35" s="5" t="inlineStr">
        <is>
          <t>Issue</t>
        </is>
      </c>
      <c r="B35" s="5" t="inlineStr">
        <is>
          <t>Appeals</t>
        </is>
      </c>
      <c r="C35" s="5" t="inlineStr">
        <is>
          <t>Share</t>
        </is>
      </c>
    </row>
    <row r="36">
      <c r="A36" s="4" t="inlineStr">
        <is>
          <t>Exemptions</t>
        </is>
      </c>
      <c r="B36" s="28" t="n">
        <v>957</v>
      </c>
      <c r="C36" s="25">
        <f>B36/B$42</f>
        <v/>
      </c>
    </row>
    <row r="37">
      <c r="A37" s="4" t="inlineStr">
        <is>
          <t>Deemed refusal</t>
        </is>
      </c>
      <c r="B37" s="28" t="n">
        <v>411</v>
      </c>
      <c r="C37" s="25">
        <f>B37/B$42</f>
        <v/>
      </c>
    </row>
    <row r="38">
      <c r="A38" s="4" t="inlineStr">
        <is>
          <t>Reasonable search</t>
        </is>
      </c>
      <c r="B38" s="28" t="n">
        <v>225</v>
      </c>
      <c r="C38" s="25">
        <f>B38/B$42</f>
        <v/>
      </c>
    </row>
    <row r="39">
      <c r="A39" s="4" t="inlineStr">
        <is>
          <t>Act does not apply</t>
        </is>
      </c>
      <c r="B39" s="28" t="n">
        <v>178</v>
      </c>
      <c r="C39" s="25">
        <f>B39/B$42</f>
        <v/>
      </c>
    </row>
    <row r="40">
      <c r="A40" s="4" t="inlineStr">
        <is>
          <t>Third-party appeals</t>
        </is>
      </c>
      <c r="B40" s="28" t="n">
        <v>157</v>
      </c>
      <c r="C40" s="25">
        <f>B40/B$42</f>
        <v/>
      </c>
    </row>
    <row r="41">
      <c r="A41" s="4" t="inlineStr">
        <is>
          <t>Other</t>
        </is>
      </c>
      <c r="B41" s="28" t="n">
        <v>368</v>
      </c>
      <c r="C41" s="25">
        <f>B41/B$42</f>
        <v/>
      </c>
    </row>
    <row r="42">
      <c r="A42" s="2" t="inlineStr">
        <is>
          <t>Total</t>
        </is>
      </c>
      <c r="B42" s="4">
        <f>SUM(B36:B41)</f>
        <v/>
      </c>
      <c r="C42" s="9">
        <f>B42-2296</f>
        <v/>
      </c>
      <c r="D42" s="9" t="inlineStr">
        <is>
          <t>← check vs IPC total (should be 0)</t>
        </is>
      </c>
    </row>
    <row r="43">
      <c r="A43" s="4" t="inlineStr">
        <is>
          <t>Deemed refusal + reasonable search</t>
        </is>
      </c>
      <c r="C43" s="25">
        <f>(B37+B38)/B42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2" customWidth="1" min="4" max="4"/>
    <col width="24" customWidth="1" min="5" max="5"/>
    <col width="26" customWidth="1" min="6" max="6"/>
    <col width="12" customWidth="1" min="7" max="7"/>
    <col width="11" customWidth="1" min="8" max="8"/>
    <col width="12" customWidth="1" min="9" max="9"/>
    <col width="40" customWidth="1" min="10" max="10"/>
  </cols>
  <sheetData>
    <row r="1">
      <c r="A1" s="1" t="inlineStr">
        <is>
          <t>FOI search log template (illustrative)</t>
        </is>
      </c>
    </row>
    <row r="2">
      <c r="A2" s="9" t="inlineStr">
        <is>
          <t>One row per location searched. A complete log supports extension decisions (s.27), fee estimates and the institution's position in a reasonable-search appeal. Example row is fictional.</t>
        </is>
      </c>
    </row>
    <row r="4">
      <c r="A4" s="5" t="inlineStr">
        <is>
          <t>Request no.</t>
        </is>
      </c>
      <c r="B4" s="5" t="inlineStr">
        <is>
          <t>Date searched</t>
        </is>
      </c>
      <c r="C4" s="5" t="inlineStr">
        <is>
          <t>Searched by</t>
        </is>
      </c>
      <c r="D4" s="5" t="inlineStr">
        <is>
          <t>File plan code</t>
        </is>
      </c>
      <c r="E4" s="5" t="inlineStr">
        <is>
          <t>Location / system</t>
        </is>
      </c>
      <c r="F4" s="5" t="inlineStr">
        <is>
          <t>Search terms or date range</t>
        </is>
      </c>
      <c r="G4" s="5" t="inlineStr">
        <is>
          <t>Records found?</t>
        </is>
      </c>
      <c r="H4" s="5" t="inlineStr">
        <is>
          <t>No. of pages</t>
        </is>
      </c>
      <c r="I4" s="5" t="inlineStr">
        <is>
          <t>Time spent (hrs)</t>
        </is>
      </c>
      <c r="J4" s="5" t="inlineStr">
        <is>
          <t>Notes (e.g., why a location was ruled out)</t>
        </is>
      </c>
    </row>
    <row r="5">
      <c r="A5" s="29" t="inlineStr">
        <is>
          <t>2026-ENV-0001</t>
        </is>
      </c>
      <c r="B5" s="29" t="inlineStr">
        <is>
          <t>2026-09-15</t>
        </is>
      </c>
      <c r="C5" s="29" t="inlineStr">
        <is>
          <t>Program analyst</t>
        </is>
      </c>
      <c r="D5" s="29" t="inlineStr">
        <is>
          <t>APP-03</t>
        </is>
      </c>
      <c r="E5" s="29" t="inlineStr">
        <is>
          <t>Approvals database</t>
        </is>
      </c>
      <c r="F5" s="29" t="inlineStr">
        <is>
          <t>Site address; 2018–2025</t>
        </is>
      </c>
      <c r="G5" s="29" t="inlineStr">
        <is>
          <t>Yes</t>
        </is>
      </c>
      <c r="H5" s="29" t="n">
        <v>42</v>
      </c>
      <c r="I5" s="29" t="n">
        <v>1.5</v>
      </c>
      <c r="J5" s="29" t="inlineStr">
        <is>
          <t>Fictional example row</t>
        </is>
      </c>
    </row>
    <row r="6">
      <c r="A6" s="30" t="n"/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</row>
    <row r="7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</row>
    <row r="8">
      <c r="A8" s="30" t="n"/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</row>
    <row r="9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</row>
    <row r="27">
      <c r="H27" s="2" t="inlineStr">
        <is>
          <t>Total hours</t>
        </is>
      </c>
      <c r="I27" s="4">
        <f>SUM(I5:I26)</f>
        <v/>
      </c>
    </row>
  </sheetData>
  <dataValidations count="2">
    <dataValidation sqref="G5:G26" showDropDown="0" showInputMessage="0" showErrorMessage="0" allowBlank="1" type="list">
      <formula1>"Yes,No,Partial"</formula1>
    </dataValidation>
    <dataValidation sqref="D5:D26" showDropDown="0" showInputMessage="0" showErrorMessage="0" allowBlank="1" type="list">
      <formula1>='6_File_Plan'!$A$4:$A$17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2026-10-24T02:28:25Z</dcterms:created>
  <dcterms:modified xmlns:dcterms="http://purl.org/dc/terms/" xmlns:xsi="http://www.w3.org/2001/XMLSchema-instance" xsi:type="dcterms:W3CDTF">2026-10-24T02:28:25Z</dcterms:modified>
</cp:coreProperties>
</file>